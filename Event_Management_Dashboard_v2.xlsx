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BudgetTracker" sheetId="2" state="visible" r:id="rId4"/>
    <sheet name="VolunteerAllocation" sheetId="3" state="visible" r:id="rId5"/>
    <sheet name="TaskTracker" sheetId="4" state="visible" r:id="rId6"/>
    <sheet name="ResourcePlanning" sheetId="5" state="visible" r:id="rId7"/>
    <sheet name="📈 Pivot 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<sst xmlns="http://schemas.openxmlformats.org/spreadsheetml/2006/main" count="428" uniqueCount="231">
  <si>
    <t xml:space="preserve">🎓   SMART EVENT MANAGEMENT &amp; RESOURCE ALLOCATION SYSTEM  |  Annual Tech Fest 2025</t>
  </si>
  <si>
    <t xml:space="preserve">💰 Total Budget (₹)</t>
  </si>
  <si>
    <t xml:space="preserve">✅ Budget Utilised</t>
  </si>
  <si>
    <t xml:space="preserve">👥 Volunteers Active</t>
  </si>
  <si>
    <t xml:space="preserve">📋 Tasks Completed</t>
  </si>
  <si>
    <t xml:space="preserve">📊 Budget Allocated vs Spent</t>
  </si>
  <si>
    <t xml:space="preserve">🍩 Task Status Distribution</t>
  </si>
  <si>
    <t xml:space="preserve">⚡ Quick Stats</t>
  </si>
  <si>
    <t xml:space="preserve">Total Tasks</t>
  </si>
  <si>
    <t xml:space="preserve">Overdue Tasks</t>
  </si>
  <si>
    <t xml:space="preserve">Total Volunteers</t>
  </si>
  <si>
    <t xml:space="preserve">Resources Pending</t>
  </si>
  <si>
    <t xml:space="preserve">Budget Remaining (₹)</t>
  </si>
  <si>
    <t xml:space="preserve">Avg Task Completion</t>
  </si>
  <si>
    <t xml:space="preserve">👤 Volunteer Role Coverage</t>
  </si>
  <si>
    <t xml:space="preserve">Role</t>
  </si>
  <si>
    <t xml:space="preserve">Required</t>
  </si>
  <si>
    <t xml:space="preserve">Assigned</t>
  </si>
  <si>
    <t xml:space="preserve">Gap</t>
  </si>
  <si>
    <t xml:space="preserve">Util%</t>
  </si>
  <si>
    <t xml:space="preserve">Status</t>
  </si>
  <si>
    <t xml:space="preserve">Stage Manager</t>
  </si>
  <si>
    <t xml:space="preserve">⚠️ Short</t>
  </si>
  <si>
    <t xml:space="preserve">Registration</t>
  </si>
  <si>
    <t xml:space="preserve">✅ Full</t>
  </si>
  <si>
    <t xml:space="preserve">Logistics</t>
  </si>
  <si>
    <t xml:space="preserve">AV &amp; Tech</t>
  </si>
  <si>
    <t xml:space="preserve">Security</t>
  </si>
  <si>
    <t xml:space="preserve">Hospitality</t>
  </si>
  <si>
    <t xml:space="preserve">🔴 Critical</t>
  </si>
  <si>
    <t xml:space="preserve">Prizes</t>
  </si>
  <si>
    <t xml:space="preserve">Misc</t>
  </si>
  <si>
    <t xml:space="preserve">💰  BUDGET TRACKER  –  Annual Tech Fest 2025</t>
  </si>
  <si>
    <t xml:space="preserve">#</t>
  </si>
  <si>
    <t xml:space="preserve">Event</t>
  </si>
  <si>
    <t xml:space="preserve">Category</t>
  </si>
  <si>
    <t xml:space="preserve">Allocated (₹)</t>
  </si>
  <si>
    <t xml:space="preserve">Invoice #</t>
  </si>
  <si>
    <t xml:space="preserve">Spent (₹)</t>
  </si>
  <si>
    <t xml:space="preserve">Remaining (₹)</t>
  </si>
  <si>
    <t xml:space="preserve">% Used</t>
  </si>
  <si>
    <t xml:space="preserve">Notes</t>
  </si>
  <si>
    <t xml:space="preserve">Allocated</t>
  </si>
  <si>
    <t xml:space="preserve">Spent</t>
  </si>
  <si>
    <t xml:space="preserve">Annual Tech Fest</t>
  </si>
  <si>
    <t xml:space="preserve">Venue &amp; Logistics</t>
  </si>
  <si>
    <t xml:space="preserve">INV-001</t>
  </si>
  <si>
    <t xml:space="preserve">Paid</t>
  </si>
  <si>
    <t xml:space="preserve">Food &amp; Catering</t>
  </si>
  <si>
    <t xml:space="preserve">INV-002</t>
  </si>
  <si>
    <t xml:space="preserve">Decoration</t>
  </si>
  <si>
    <t xml:space="preserve">INV-003</t>
  </si>
  <si>
    <t xml:space="preserve">Partial</t>
  </si>
  <si>
    <t xml:space="preserve">Marketing &amp; Promo</t>
  </si>
  <si>
    <t xml:space="preserve">INV-004</t>
  </si>
  <si>
    <t xml:space="preserve">Pending</t>
  </si>
  <si>
    <t xml:space="preserve">Prizes &amp; Awards</t>
  </si>
  <si>
    <t xml:space="preserve">INV-005</t>
  </si>
  <si>
    <t xml:space="preserve">Miscellaneous</t>
  </si>
  <si>
    <t xml:space="preserve">INV-006</t>
  </si>
  <si>
    <t xml:space="preserve">TOTAL</t>
  </si>
  <si>
    <t xml:space="preserve">Count</t>
  </si>
  <si>
    <t xml:space="preserve">👥  VOLUNTEER ALLOCATION  –  Annual Tech Fest 2025</t>
  </si>
  <si>
    <t xml:space="preserve">ID</t>
  </si>
  <si>
    <t xml:space="preserve">Name</t>
  </si>
  <si>
    <t xml:space="preserve">Dept</t>
  </si>
  <si>
    <t xml:space="preserve">Shift</t>
  </si>
  <si>
    <t xml:space="preserve">Check-In</t>
  </si>
  <si>
    <t xml:space="preserve">Check-Out</t>
  </si>
  <si>
    <t xml:space="preserve">Hours</t>
  </si>
  <si>
    <t xml:space="preserve">V001</t>
  </si>
  <si>
    <t xml:space="preserve">Arjun Sharma</t>
  </si>
  <si>
    <t xml:space="preserve">Engineering</t>
  </si>
  <si>
    <t xml:space="preserve">Morning</t>
  </si>
  <si>
    <t xml:space="preserve">08:00</t>
  </si>
  <si>
    <t xml:space="preserve">14:00</t>
  </si>
  <si>
    <t xml:space="preserve">V002</t>
  </si>
  <si>
    <t xml:space="preserve">Priya Nair</t>
  </si>
  <si>
    <t xml:space="preserve">Arts</t>
  </si>
  <si>
    <t xml:space="preserve">Afternoon</t>
  </si>
  <si>
    <t xml:space="preserve">13:00</t>
  </si>
  <si>
    <t xml:space="preserve">19:00</t>
  </si>
  <si>
    <t xml:space="preserve">Standby</t>
  </si>
  <si>
    <t xml:space="preserve">V003</t>
  </si>
  <si>
    <t xml:space="preserve">Rohan Mehta</t>
  </si>
  <si>
    <t xml:space="preserve">Commerce</t>
  </si>
  <si>
    <t xml:space="preserve">07:30</t>
  </si>
  <si>
    <t xml:space="preserve">13:30</t>
  </si>
  <si>
    <t xml:space="preserve">Absent</t>
  </si>
  <si>
    <t xml:space="preserve">V004</t>
  </si>
  <si>
    <t xml:space="preserve">Sneha Patel</t>
  </si>
  <si>
    <t xml:space="preserve">Science</t>
  </si>
  <si>
    <t xml:space="preserve">Evening</t>
  </si>
  <si>
    <t xml:space="preserve">18:00</t>
  </si>
  <si>
    <t xml:space="preserve">22:00</t>
  </si>
  <si>
    <t xml:space="preserve">V005</t>
  </si>
  <si>
    <t xml:space="preserve">Kiran Rao</t>
  </si>
  <si>
    <t xml:space="preserve">16:00</t>
  </si>
  <si>
    <t xml:space="preserve">V006</t>
  </si>
  <si>
    <t xml:space="preserve">Divya Iyer</t>
  </si>
  <si>
    <t xml:space="preserve">Medical</t>
  </si>
  <si>
    <t xml:space="preserve">12:00</t>
  </si>
  <si>
    <t xml:space="preserve">20:00</t>
  </si>
  <si>
    <t xml:space="preserve">V007</t>
  </si>
  <si>
    <t xml:space="preserve">Aditya Kumar</t>
  </si>
  <si>
    <t xml:space="preserve">Law</t>
  </si>
  <si>
    <t xml:space="preserve">Full Day</t>
  </si>
  <si>
    <t xml:space="preserve">07:00</t>
  </si>
  <si>
    <t xml:space="preserve">21:00</t>
  </si>
  <si>
    <t xml:space="preserve">V008</t>
  </si>
  <si>
    <t xml:space="preserve">Meera Joshi</t>
  </si>
  <si>
    <t xml:space="preserve">Architecture</t>
  </si>
  <si>
    <t xml:space="preserve">V009</t>
  </si>
  <si>
    <t xml:space="preserve">Siddharth Roy</t>
  </si>
  <si>
    <t xml:space="preserve">V010</t>
  </si>
  <si>
    <t xml:space="preserve">Ananya Singh</t>
  </si>
  <si>
    <t xml:space="preserve">17:00</t>
  </si>
  <si>
    <t xml:space="preserve">📋  TASK TRACKER  –  Annual Tech Fest 2025</t>
  </si>
  <si>
    <t xml:space="preserve">Task Name</t>
  </si>
  <si>
    <t xml:space="preserve">Owner</t>
  </si>
  <si>
    <t xml:space="preserve">Start</t>
  </si>
  <si>
    <t xml:space="preserve">Due Date</t>
  </si>
  <si>
    <t xml:space="preserve">Priority</t>
  </si>
  <si>
    <t xml:space="preserve">% Done</t>
  </si>
  <si>
    <t xml:space="preserve">Dependency</t>
  </si>
  <si>
    <t xml:space="preserve">Remarks</t>
  </si>
  <si>
    <t xml:space="preserve">T001</t>
  </si>
  <si>
    <t xml:space="preserve">Book Auditorium &amp; Stage</t>
  </si>
  <si>
    <t xml:space="preserve">Venue</t>
  </si>
  <si>
    <t xml:space="preserve">01-Sep</t>
  </si>
  <si>
    <t xml:space="preserve">10-Sep</t>
  </si>
  <si>
    <t xml:space="preserve">Completed</t>
  </si>
  <si>
    <t xml:space="preserve">High</t>
  </si>
  <si>
    <t xml:space="preserve">—</t>
  </si>
  <si>
    <t xml:space="preserve">Venue confirmed</t>
  </si>
  <si>
    <t xml:space="preserve">Not Started</t>
  </si>
  <si>
    <t xml:space="preserve">T002</t>
  </si>
  <si>
    <t xml:space="preserve">Design Posters &amp; Banners</t>
  </si>
  <si>
    <t xml:space="preserve">Marketing</t>
  </si>
  <si>
    <t xml:space="preserve">05-Sep</t>
  </si>
  <si>
    <t xml:space="preserve">12-Sep</t>
  </si>
  <si>
    <t xml:space="preserve">Printed</t>
  </si>
  <si>
    <t xml:space="preserve">In Progress</t>
  </si>
  <si>
    <t xml:space="preserve">T003</t>
  </si>
  <si>
    <t xml:space="preserve">Online Participant Registration</t>
  </si>
  <si>
    <t xml:space="preserve">08-Sep</t>
  </si>
  <si>
    <t xml:space="preserve">20-Sep</t>
  </si>
  <si>
    <t xml:space="preserve">Portal open</t>
  </si>
  <si>
    <t xml:space="preserve">T004</t>
  </si>
  <si>
    <t xml:space="preserve">Coordinate AV Equipment</t>
  </si>
  <si>
    <t xml:space="preserve">Technical</t>
  </si>
  <si>
    <t xml:space="preserve">14-Sep</t>
  </si>
  <si>
    <t xml:space="preserve">Overdue</t>
  </si>
  <si>
    <t xml:space="preserve">Escalated</t>
  </si>
  <si>
    <t xml:space="preserve">T005</t>
  </si>
  <si>
    <t xml:space="preserve">Arrange Food &amp; Catering</t>
  </si>
  <si>
    <t xml:space="preserve">Catering</t>
  </si>
  <si>
    <t xml:space="preserve">18-Sep</t>
  </si>
  <si>
    <t xml:space="preserve">Medium</t>
  </si>
  <si>
    <t xml:space="preserve">Caterer confirmed</t>
  </si>
  <si>
    <t xml:space="preserve">On Hold</t>
  </si>
  <si>
    <t xml:space="preserve">T006</t>
  </si>
  <si>
    <t xml:space="preserve">Prize Distribution Plan</t>
  </si>
  <si>
    <t xml:space="preserve">Coordination</t>
  </si>
  <si>
    <t xml:space="preserve">15-Sep</t>
  </si>
  <si>
    <t xml:space="preserve">Done</t>
  </si>
  <si>
    <t xml:space="preserve">T007</t>
  </si>
  <si>
    <t xml:space="preserve">Social Media Campaign</t>
  </si>
  <si>
    <t xml:space="preserve">Running</t>
  </si>
  <si>
    <t xml:space="preserve">T008</t>
  </si>
  <si>
    <t xml:space="preserve">Volunteer Briefing Session</t>
  </si>
  <si>
    <t xml:space="preserve">19-Sep</t>
  </si>
  <si>
    <t xml:space="preserve">Scheduled</t>
  </si>
  <si>
    <t xml:space="preserve">T009</t>
  </si>
  <si>
    <t xml:space="preserve">Event Day Setup &amp; Rehearsal</t>
  </si>
  <si>
    <t xml:space="preserve">Operations</t>
  </si>
  <si>
    <t xml:space="preserve">T010</t>
  </si>
  <si>
    <t xml:space="preserve">Post-Event Report</t>
  </si>
  <si>
    <t xml:space="preserve">Reporting</t>
  </si>
  <si>
    <t xml:space="preserve">21-Sep</t>
  </si>
  <si>
    <t xml:space="preserve">25-Sep</t>
  </si>
  <si>
    <t xml:space="preserve">Low</t>
  </si>
  <si>
    <t xml:space="preserve">🗂️  RESOURCE PLANNING  –  Annual Tech Fest 2025</t>
  </si>
  <si>
    <t xml:space="preserve">Item</t>
  </si>
  <si>
    <t xml:space="preserve">Needed</t>
  </si>
  <si>
    <t xml:space="preserve">Available</t>
  </si>
  <si>
    <t xml:space="preserve">Shortfall</t>
  </si>
  <si>
    <t xml:space="preserve">Unit (₹)</t>
  </si>
  <si>
    <t xml:space="preserve">Total (₹)</t>
  </si>
  <si>
    <t xml:space="preserve">Supplier</t>
  </si>
  <si>
    <t xml:space="preserve">Folding Chairs</t>
  </si>
  <si>
    <t xml:space="preserve">Furniture</t>
  </si>
  <si>
    <t xml:space="preserve">BK Traders</t>
  </si>
  <si>
    <t xml:space="preserve">Round Tables</t>
  </si>
  <si>
    <t xml:space="preserve">Confirmed</t>
  </si>
  <si>
    <t xml:space="preserve">Projectors</t>
  </si>
  <si>
    <t xml:space="preserve">AV Equipment</t>
  </si>
  <si>
    <t xml:space="preserve">TechRent Co</t>
  </si>
  <si>
    <t xml:space="preserve">Microphones</t>
  </si>
  <si>
    <t xml:space="preserve">SoundPro</t>
  </si>
  <si>
    <t xml:space="preserve">Extension Cords</t>
  </si>
  <si>
    <t xml:space="preserve">Electrical</t>
  </si>
  <si>
    <t xml:space="preserve">ElectroMart</t>
  </si>
  <si>
    <t xml:space="preserve">LED Lights</t>
  </si>
  <si>
    <t xml:space="preserve">LightHouse</t>
  </si>
  <si>
    <t xml:space="preserve">Banners (6x4 ft)</t>
  </si>
  <si>
    <t xml:space="preserve">PrintFast</t>
  </si>
  <si>
    <t xml:space="preserve">First Aid Kits</t>
  </si>
  <si>
    <t xml:space="preserve">Safety</t>
  </si>
  <si>
    <t xml:space="preserve">MediStore</t>
  </si>
  <si>
    <t xml:space="preserve">Water Dispensers</t>
  </si>
  <si>
    <t xml:space="preserve">AquaServ</t>
  </si>
  <si>
    <t xml:space="preserve">Laptops</t>
  </si>
  <si>
    <t xml:space="preserve">College IT</t>
  </si>
  <si>
    <t xml:space="preserve">Total Cost</t>
  </si>
  <si>
    <t xml:space="preserve">📈  PIVOT SUMMARY  –  INSIGHTS &amp; ANALYTICS</t>
  </si>
  <si>
    <t xml:space="preserve">Budget Utilisation by Category</t>
  </si>
  <si>
    <t xml:space="preserve">Task &amp; Volunteer Summary</t>
  </si>
  <si>
    <t xml:space="preserve">Remaining</t>
  </si>
  <si>
    <t xml:space="preserve">%</t>
  </si>
  <si>
    <t xml:space="preserve">Color</t>
  </si>
  <si>
    <t xml:space="preserve">Tasks: Completed</t>
  </si>
  <si>
    <t xml:space="preserve">1E8449</t>
  </si>
  <si>
    <t xml:space="preserve">Tasks: Overdue</t>
  </si>
  <si>
    <t xml:space="preserve">C0392B</t>
  </si>
  <si>
    <t xml:space="preserve">Tasks: In Progress</t>
  </si>
  <si>
    <t xml:space="preserve">0D7377</t>
  </si>
  <si>
    <t xml:space="preserve">Vols: Assigned</t>
  </si>
  <si>
    <t xml:space="preserve">Vols: Absent</t>
  </si>
  <si>
    <t xml:space="preserve">Resources: Pending</t>
  </si>
  <si>
    <t xml:space="preserve">D35400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</si>
</sst>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\₹#,##0"/>
    <numFmt numFmtId="167" formatCode="0%"/>
    <numFmt numFmtId="168" formatCode="0.0%"/>
    <numFmt numFmtId="169" formatCode="0.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0D7377"/>
      <name val="Arial"/>
      <family val="0"/>
      <charset val="1"/>
    </font>
    <font>
      <b val="true"/>
      <sz val="13"/>
      <color rgb="FFC0392B"/>
      <name val="Arial"/>
      <family val="0"/>
      <charset val="1"/>
    </font>
    <font>
      <b val="true"/>
      <sz val="13"/>
      <color rgb="FF1B3A6B"/>
      <name val="Arial"/>
      <family val="0"/>
      <charset val="1"/>
    </font>
    <font>
      <b val="true"/>
      <sz val="13"/>
      <color rgb="FFD35400"/>
      <name val="Arial"/>
      <family val="0"/>
      <charset val="1"/>
    </font>
    <font>
      <b val="true"/>
      <sz val="13"/>
      <color rgb="FF1E8449"/>
      <name val="Arial"/>
      <family val="0"/>
      <charset val="1"/>
    </font>
    <font>
      <b val="true"/>
      <sz val="13"/>
      <color rgb="FF6C3483"/>
      <name val="Arial"/>
      <family val="0"/>
      <charset val="1"/>
    </font>
    <font>
      <sz val="9"/>
      <color rgb="FF222222"/>
      <name val="Arial"/>
      <family val="0"/>
      <charset val="1"/>
    </font>
    <font>
      <b val="true"/>
      <sz val="9"/>
      <color rgb="FFD4940A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Arial"/>
      <family val="0"/>
      <charset val="1"/>
    </font>
    <font>
      <b val="true"/>
      <sz val="9"/>
      <color rgb="FFD35400"/>
      <name val="Arial"/>
      <family val="0"/>
      <charset val="1"/>
    </font>
    <font>
      <b val="true"/>
      <sz val="9"/>
      <color rgb="FF0D7377"/>
      <name val="Arial"/>
      <family val="0"/>
      <charset val="1"/>
    </font>
    <font>
      <b val="true"/>
      <sz val="9"/>
      <color rgb="FF888888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3A6B"/>
        <bgColor rgb="FF2E4057"/>
      </patternFill>
    </fill>
    <fill>
      <patternFill patternType="solid">
        <fgColor rgb="FF0D7377"/>
        <bgColor rgb="FF1E8449"/>
      </patternFill>
    </fill>
    <fill>
      <patternFill patternType="solid">
        <fgColor rgb="FFD4940A"/>
        <bgColor rgb="FFDC853E"/>
      </patternFill>
    </fill>
    <fill>
      <patternFill patternType="solid">
        <fgColor rgb="FF1E8449"/>
        <bgColor rgb="FF0D7377"/>
      </patternFill>
    </fill>
    <fill>
      <patternFill patternType="solid">
        <fgColor rgb="FF2E4057"/>
        <bgColor rgb="FF1B3A6B"/>
      </patternFill>
    </fill>
    <fill>
      <patternFill patternType="solid">
        <fgColor rgb="FFF4F6FA"/>
        <bgColor rgb="FFF9F9F9"/>
      </patternFill>
    </fill>
    <fill>
      <patternFill patternType="solid">
        <fgColor rgb="FFC0392B"/>
        <bgColor rgb="FFAB4744"/>
      </patternFill>
    </fill>
    <fill>
      <patternFill patternType="solid">
        <fgColor rgb="FFD35400"/>
        <bgColor rgb="FFC0392B"/>
      </patternFill>
    </fill>
    <fill>
      <patternFill patternType="solid">
        <fgColor rgb="FF6C3483"/>
        <bgColor rgb="FF725990"/>
      </patternFill>
    </fill>
    <fill>
      <patternFill patternType="solid">
        <fgColor rgb="FF555F6E"/>
        <bgColor rgb="FF725990"/>
      </patternFill>
    </fill>
    <fill>
      <patternFill patternType="solid">
        <fgColor rgb="FFFFFFFF"/>
        <bgColor rgb="FFF9F9F9"/>
      </patternFill>
    </fill>
    <fill>
      <patternFill patternType="solid">
        <fgColor rgb="FFC47900"/>
        <bgColor rgb="FFD4940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47900"/>
      <rgbColor rgb="FF800080"/>
      <rgbColor rgb="FF0D7377"/>
      <rgbColor rgb="FFBBBBBB"/>
      <rgbColor rgb="FF878787"/>
      <rgbColor rgb="FF93A9CE"/>
      <rgbColor rgb="FFAB4744"/>
      <rgbColor rgb="FFF9F9F9"/>
      <rgbColor rgb="FFF4F6FA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CCFFFF"/>
      <rgbColor rgb="FFCCFFCC"/>
      <rgbColor rgb="FFFFFF99"/>
      <rgbColor rgb="FFAABBCC"/>
      <rgbColor rgb="FFFF99CC"/>
      <rgbColor rgb="FFCC99FF"/>
      <rgbColor rgb="FFFFCC99"/>
      <rgbColor rgb="FF4672A8"/>
      <rgbColor rgb="FF4299B0"/>
      <rgbColor rgb="FF8AA64F"/>
      <rgbColor rgb="FFFFCC00"/>
      <rgbColor rgb="FFD4940A"/>
      <rgbColor rgb="FFD35400"/>
      <rgbColor rgb="FF725990"/>
      <rgbColor rgb="FF888888"/>
      <rgbColor rgb="FF1B3A6B"/>
      <rgbColor rgb="FF1E8449"/>
      <rgbColor rgb="FF003300"/>
      <rgbColor rgb="FF222222"/>
      <rgbColor rgb="FFC0392B"/>
      <rgbColor rgb="FF6C3483"/>
      <rgbColor rgb="FF555F6E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Budget: Allocated vs Spent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"Allocated"</c:f>
              <c:strCache>
                <c:ptCount val="1"/>
                <c:pt idx="0">
                  <c:v>Allocated</c:v>
                </c:pt>
              </c:strCache>
            </c:strRef>
          </c:tx>
          <c:spPr>
            <a:solidFill>
              <a:srgbClr val="1b3a6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Dashboard'!$A$30:$A$36</c:f>
              <c:strCache>
                <c:ptCount val="7"/>
                <c:pt idx="0">
                  <c:v>Registration</c:v>
                </c:pt>
                <c:pt idx="1">
                  <c:v>Logistics</c:v>
                </c:pt>
                <c:pt idx="2">
                  <c:v>AV &amp; Tech</c:v>
                </c:pt>
                <c:pt idx="3">
                  <c:v>Security</c:v>
                </c:pt>
                <c:pt idx="4">
                  <c:v>Hospitality</c:v>
                </c:pt>
                <c:pt idx="5">
                  <c:v>Prizes</c:v>
                </c:pt>
                <c:pt idx="6">
                  <c:v>Misc</c:v>
                </c:pt>
              </c:strCache>
            </c:strRef>
          </c:cat>
          <c:val>
            <c:numRef>
              <c:f>'📊 Dashboard'!$B$30:$B$36</c:f>
              <c:numCache>
                <c:formatCode>General</c:formatCode>
                <c:ptCount val="7"/>
                <c:pt idx="0">
                  <c:v>8</c:v>
                </c:pt>
                <c:pt idx="1">
                  <c:v>6</c:v>
                </c:pt>
                <c:pt idx="2">
                  <c:v>4</c:v>
                </c:pt>
                <c:pt idx="3">
                  <c:v>10</c:v>
                </c:pt>
                <c:pt idx="4">
                  <c:v>6</c:v>
                </c:pt>
                <c:pt idx="5">
                  <c:v>50000</c:v>
                </c:pt>
                <c:pt idx="6">
                  <c:v>20000</c:v>
                </c:pt>
              </c:numCache>
            </c:numRef>
          </c:val>
        </c:ser>
        <c:ser>
          <c:idx val="1"/>
          <c:order val="1"/>
          <c:tx>
            <c:strRef>
              <c:f>"Spent"</c:f>
              <c:strCache>
                <c:ptCount val="1"/>
                <c:pt idx="0">
                  <c:v>Spent</c:v>
                </c:pt>
              </c:strCache>
            </c:strRef>
          </c:tx>
          <c:spPr>
            <a:solidFill>
              <a:srgbClr val="0d737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Dashboard'!$A$30:$A$36</c:f>
              <c:strCache>
                <c:ptCount val="7"/>
                <c:pt idx="0">
                  <c:v>Registration</c:v>
                </c:pt>
                <c:pt idx="1">
                  <c:v>Logistics</c:v>
                </c:pt>
                <c:pt idx="2">
                  <c:v>AV &amp; Tech</c:v>
                </c:pt>
                <c:pt idx="3">
                  <c:v>Security</c:v>
                </c:pt>
                <c:pt idx="4">
                  <c:v>Hospitality</c:v>
                </c:pt>
                <c:pt idx="5">
                  <c:v>Prizes</c:v>
                </c:pt>
                <c:pt idx="6">
                  <c:v>Misc</c:v>
                </c:pt>
              </c:strCache>
            </c:strRef>
          </c:cat>
          <c:val>
            <c:numRef>
              <c:f>'📊 Dashboard'!$C$30:$C$36</c:f>
              <c:numCache>
                <c:formatCode>General</c:formatCode>
                <c:ptCount val="7"/>
                <c:pt idx="0">
                  <c:v>8</c:v>
                </c:pt>
                <c:pt idx="1">
                  <c:v>5</c:v>
                </c:pt>
                <c:pt idx="2">
                  <c:v>3</c:v>
                </c:pt>
                <c:pt idx="3">
                  <c:v>10</c:v>
                </c:pt>
                <c:pt idx="4">
                  <c:v>4</c:v>
                </c:pt>
                <c:pt idx="5">
                  <c:v>42000</c:v>
                </c:pt>
                <c:pt idx="6">
                  <c:v>8500</c:v>
                </c:pt>
              </c:numCache>
            </c:numRef>
          </c:val>
        </c:ser>
        <c:gapWidth val="150"/>
        <c:overlap val="0"/>
        <c:axId val="9995647"/>
        <c:axId val="63939246"/>
      </c:barChart>
      <c:catAx>
        <c:axId val="99956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939246"/>
        <c:crosses val="autoZero"/>
        <c:auto val="1"/>
        <c:lblAlgn val="ctr"/>
        <c:lblOffset val="100"/>
        <c:noMultiLvlLbl val="0"/>
      </c:catAx>
      <c:valAx>
        <c:axId val="639392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9564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Task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'📊 Dashboard'!F30</c:f>
              <c:strCache>
                <c:ptCount val="1"/>
                <c:pt idx="0">
                  <c:v>✅ Full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88888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d4940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1e844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c0392b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'📊 Dashboard'!$E$31:$E$34</c:f>
              <c:strCache>
                <c:ptCount val="4"/>
                <c:pt idx="0">
                  <c:v>83%</c:v>
                </c:pt>
                <c:pt idx="1">
                  <c:v>75%</c:v>
                </c:pt>
                <c:pt idx="2">
                  <c:v>100%</c:v>
                </c:pt>
                <c:pt idx="3">
                  <c:v>67%</c:v>
                </c:pt>
              </c:strCache>
            </c:strRef>
          </c:cat>
          <c:val>
            <c:numRef>
              <c:f>'📊 Dashboard'!$F$31:$F$34</c:f>
              <c:numCache>
                <c:formatCode>General</c:formatCode>
                <c:ptCount val="4"/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Allocated vs Spent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"Allocated"</c:f>
              <c:strCache>
                <c:ptCount val="1"/>
                <c:pt idx="0">
                  <c:v>Allocated</c:v>
                </c:pt>
              </c:strCache>
            </c:strRef>
          </c:tx>
          <c:spPr>
            <a:solidFill>
              <a:srgbClr val="1b3a6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BudgetTracker!$L$3:$L$9</c:f>
              <c:strCache>
                <c:ptCount val="7"/>
                <c:pt idx="0">
                  <c:v>Category</c:v>
                </c:pt>
                <c:pt idx="1">
                  <c:v>Venue &amp; Logistics</c:v>
                </c:pt>
                <c:pt idx="2">
                  <c:v>Food &amp; Catering</c:v>
                </c:pt>
                <c:pt idx="3">
                  <c:v>Decoration</c:v>
                </c:pt>
                <c:pt idx="4">
                  <c:v>Marketing &amp; Promo</c:v>
                </c:pt>
                <c:pt idx="5">
                  <c:v>Prizes &amp; Awards</c:v>
                </c:pt>
                <c:pt idx="6">
                  <c:v>Miscellaneous</c:v>
                </c:pt>
              </c:strCache>
            </c:strRef>
          </c:cat>
          <c:val>
            <c:numRef>
              <c:f>BudgetTracker!$M$3:$M$9</c:f>
              <c:numCache>
                <c:formatCode>General</c:formatCode>
                <c:ptCount val="7"/>
                <c:pt idx="1">
                  <c:v>150000</c:v>
                </c:pt>
                <c:pt idx="2">
                  <c:v>80000</c:v>
                </c:pt>
                <c:pt idx="3">
                  <c:v>40000</c:v>
                </c:pt>
                <c:pt idx="4">
                  <c:v>30000</c:v>
                </c:pt>
                <c:pt idx="5">
                  <c:v>50000</c:v>
                </c:pt>
                <c:pt idx="6">
                  <c:v>20000</c:v>
                </c:pt>
              </c:numCache>
            </c:numRef>
          </c:val>
        </c:ser>
        <c:ser>
          <c:idx val="1"/>
          <c:order val="1"/>
          <c:tx>
            <c:strRef>
              <c:f>"Spent"</c:f>
              <c:strCache>
                <c:ptCount val="1"/>
                <c:pt idx="0">
                  <c:v>Spent</c:v>
                </c:pt>
              </c:strCache>
            </c:strRef>
          </c:tx>
          <c:spPr>
            <a:solidFill>
              <a:srgbClr val="0d737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BudgetTracker!$L$3:$L$9</c:f>
              <c:strCache>
                <c:ptCount val="7"/>
                <c:pt idx="0">
                  <c:v>Category</c:v>
                </c:pt>
                <c:pt idx="1">
                  <c:v>Venue &amp; Logistics</c:v>
                </c:pt>
                <c:pt idx="2">
                  <c:v>Food &amp; Catering</c:v>
                </c:pt>
                <c:pt idx="3">
                  <c:v>Decoration</c:v>
                </c:pt>
                <c:pt idx="4">
                  <c:v>Marketing &amp; Promo</c:v>
                </c:pt>
                <c:pt idx="5">
                  <c:v>Prizes &amp; Awards</c:v>
                </c:pt>
                <c:pt idx="6">
                  <c:v>Miscellaneous</c:v>
                </c:pt>
              </c:strCache>
            </c:strRef>
          </c:cat>
          <c:val>
            <c:numRef>
              <c:f>BudgetTracker!$N$3:$N$9</c:f>
              <c:numCache>
                <c:formatCode>General</c:formatCode>
                <c:ptCount val="7"/>
                <c:pt idx="1">
                  <c:v>112000</c:v>
                </c:pt>
                <c:pt idx="2">
                  <c:v>65000</c:v>
                </c:pt>
                <c:pt idx="3">
                  <c:v>38500</c:v>
                </c:pt>
                <c:pt idx="4">
                  <c:v>18000</c:v>
                </c:pt>
                <c:pt idx="5">
                  <c:v>42000</c:v>
                </c:pt>
                <c:pt idx="6">
                  <c:v>8500</c:v>
                </c:pt>
              </c:numCache>
            </c:numRef>
          </c:val>
        </c:ser>
        <c:gapWidth val="150"/>
        <c:overlap val="0"/>
        <c:axId val="48039318"/>
        <c:axId val="71388225"/>
      </c:barChart>
      <c:catAx>
        <c:axId val="48039318"/>
        <c:scaling>
          <c:orientation val="minMax"/>
        </c:scaling>
        <c:delete val="0"/>
        <c:axPos val="b"/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388225"/>
        <c:crosses val="autoZero"/>
        <c:auto val="1"/>
        <c:lblAlgn val="ctr"/>
        <c:lblOffset val="100"/>
        <c:noMultiLvlLbl val="0"/>
      </c:catAx>
      <c:valAx>
        <c:axId val="713882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03931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Payment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BudgetTracker!M12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1e844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392b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d35400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BudgetTracker!$L$13:$L$15</c:f>
              <c:strCache>
                <c:ptCount val="3"/>
                <c:pt idx="0">
                  <c:v>Paid</c:v>
                </c:pt>
                <c:pt idx="1">
                  <c:v>Pending</c:v>
                </c:pt>
                <c:pt idx="2">
                  <c:v>Partial</c:v>
                </c:pt>
              </c:strCache>
            </c:strRef>
          </c:cat>
          <c:val>
            <c:numRef>
              <c:f>BudgetTracker!$M$13:$M$15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Volunteers per Role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"Count"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d737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VolunteerAllocation!$M$3:$M$10</c:f>
              <c:strCache>
                <c:ptCount val="8"/>
                <c:pt idx="0">
                  <c:v>Role</c:v>
                </c:pt>
                <c:pt idx="1">
                  <c:v>Stage Manager</c:v>
                </c:pt>
                <c:pt idx="2">
                  <c:v>Decoration</c:v>
                </c:pt>
                <c:pt idx="3">
                  <c:v>Registration</c:v>
                </c:pt>
                <c:pt idx="4">
                  <c:v>AV &amp; Tech</c:v>
                </c:pt>
                <c:pt idx="5">
                  <c:v>Logistics</c:v>
                </c:pt>
                <c:pt idx="6">
                  <c:v>Hospitality</c:v>
                </c:pt>
                <c:pt idx="7">
                  <c:v>Security</c:v>
                </c:pt>
              </c:strCache>
            </c:strRef>
          </c:cat>
          <c:val>
            <c:numRef>
              <c:f>VolunteerAllocation!$N$3:$N$10</c:f>
              <c:numCache>
                <c:formatCode>General</c:formatCode>
                <c:ptCount val="8"/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</c:ser>
        <c:gapWidth val="150"/>
        <c:overlap val="0"/>
        <c:axId val="99036716"/>
        <c:axId val="60404261"/>
      </c:barChart>
      <c:catAx>
        <c:axId val="990367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404261"/>
        <c:crosses val="autoZero"/>
        <c:auto val="1"/>
        <c:lblAlgn val="ctr"/>
        <c:lblOffset val="100"/>
        <c:noMultiLvlLbl val="0"/>
      </c:catAx>
      <c:valAx>
        <c:axId val="604042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0367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Volunteer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VolunteerAllocation!Q3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1e844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d4940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c0392b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VolunteerAllocation!$P$4:$P$6</c:f>
              <c:strCache>
                <c:ptCount val="3"/>
                <c:pt idx="0">
                  <c:v>Assigned</c:v>
                </c:pt>
                <c:pt idx="1">
                  <c:v>Standby</c:v>
                </c:pt>
                <c:pt idx="2">
                  <c:v>Absent</c:v>
                </c:pt>
              </c:strCache>
            </c:strRef>
          </c:cat>
          <c:val>
            <c:numRef>
              <c:f>VolunteerAllocation!$Q$4:$Q$6</c:f>
              <c:numCache>
                <c:formatCode>General</c:formatCode>
                <c:ptCount val="3"/>
                <c:pt idx="0">
                  <c:v>8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Tasks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"Tasks"</c:f>
              <c:strCache>
                <c:ptCount val="1"/>
                <c:pt idx="0">
                  <c:v>Tasks</c:v>
                </c:pt>
              </c:strCache>
            </c:strRef>
          </c:tx>
          <c:spPr>
            <a:solidFill>
              <a:srgbClr val="c479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TaskTracker!$N$3:$N$8</c:f>
              <c:strCache>
                <c:ptCount val="6"/>
                <c:pt idx="0">
                  <c:v>Status</c:v>
                </c:pt>
                <c:pt idx="1">
                  <c:v>Not Started</c:v>
                </c:pt>
                <c:pt idx="2">
                  <c:v>In Progress</c:v>
                </c:pt>
                <c:pt idx="3">
                  <c:v>Completed</c:v>
                </c:pt>
                <c:pt idx="4">
                  <c:v>Overdue</c:v>
                </c:pt>
                <c:pt idx="5">
                  <c:v>On Hold</c:v>
                </c:pt>
              </c:strCache>
            </c:strRef>
          </c:cat>
          <c:val>
            <c:numRef>
              <c:f>TaskTracker!$O$3:$O$8</c:f>
              <c:numCache>
                <c:formatCode>General</c:formatCode>
                <c:ptCount val="6"/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88595079"/>
        <c:axId val="61099528"/>
      </c:barChart>
      <c:catAx>
        <c:axId val="88595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099528"/>
        <c:crosses val="autoZero"/>
        <c:auto val="1"/>
        <c:lblAlgn val="ctr"/>
        <c:lblOffset val="100"/>
        <c:noMultiLvlLbl val="0"/>
      </c:catAx>
      <c:valAx>
        <c:axId val="610995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5950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Priority 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TaskTracker!O10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c0392b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d3540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1e844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TaskTracker!$N$11:$N$13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TaskTracker!$O$11:$O$13</c:f>
              <c:numCache>
                <c:formatCode>General</c:formatCode>
                <c:ptCount val="3"/>
                <c:pt idx="0">
                  <c:v>6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Resource: Needed vs Available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"Needed"</c:f>
              <c:strCache>
                <c:ptCount val="1"/>
                <c:pt idx="0">
                  <c:v>Needed</c:v>
                </c:pt>
              </c:strCache>
            </c:strRef>
          </c:tx>
          <c:spPr>
            <a:solidFill>
              <a:srgbClr val="1b3a6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ResourcePlanning!$L$3:$L$13</c:f>
              <c:strCache>
                <c:ptCount val="11"/>
                <c:pt idx="0">
                  <c:v>Item</c:v>
                </c:pt>
                <c:pt idx="1">
                  <c:v>Folding Chairs</c:v>
                </c:pt>
                <c:pt idx="2">
                  <c:v>Round Tables</c:v>
                </c:pt>
                <c:pt idx="3">
                  <c:v>Projectors</c:v>
                </c:pt>
                <c:pt idx="4">
                  <c:v>Microphones</c:v>
                </c:pt>
                <c:pt idx="5">
                  <c:v>Extension Cords</c:v>
                </c:pt>
                <c:pt idx="6">
                  <c:v>LED Lights</c:v>
                </c:pt>
                <c:pt idx="7">
                  <c:v>Banners (6x4 ft)</c:v>
                </c:pt>
                <c:pt idx="8">
                  <c:v>First Aid Kits</c:v>
                </c:pt>
                <c:pt idx="9">
                  <c:v>Water Dispensers</c:v>
                </c:pt>
                <c:pt idx="10">
                  <c:v>Laptops</c:v>
                </c:pt>
              </c:strCache>
            </c:strRef>
          </c:cat>
          <c:val>
            <c:numRef>
              <c:f>ResourcePlanning!$M$3:$M$13</c:f>
              <c:numCache>
                <c:formatCode>General</c:formatCode>
                <c:ptCount val="11"/>
                <c:pt idx="1">
                  <c:v>200</c:v>
                </c:pt>
                <c:pt idx="2">
                  <c:v>30</c:v>
                </c:pt>
                <c:pt idx="3">
                  <c:v>5</c:v>
                </c:pt>
                <c:pt idx="4">
                  <c:v>10</c:v>
                </c:pt>
                <c:pt idx="5">
                  <c:v>25</c:v>
                </c:pt>
                <c:pt idx="6">
                  <c:v>50</c:v>
                </c:pt>
                <c:pt idx="7">
                  <c:v>15</c:v>
                </c:pt>
                <c:pt idx="8">
                  <c:v>5</c:v>
                </c:pt>
                <c:pt idx="9">
                  <c:v>8</c:v>
                </c:pt>
                <c:pt idx="10">
                  <c:v>4</c:v>
                </c:pt>
              </c:numCache>
            </c:numRef>
          </c:val>
        </c:ser>
        <c:ser>
          <c:idx val="1"/>
          <c:order val="1"/>
          <c:tx>
            <c:strRef>
              <c:f>"Available"</c:f>
              <c:strCache>
                <c:ptCount val="1"/>
                <c:pt idx="0">
                  <c:v>Available</c:v>
                </c:pt>
              </c:strCache>
            </c:strRef>
          </c:tx>
          <c:spPr>
            <a:solidFill>
              <a:srgbClr val="0d737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ResourcePlanning!$L$3:$L$13</c:f>
              <c:strCache>
                <c:ptCount val="11"/>
                <c:pt idx="0">
                  <c:v>Item</c:v>
                </c:pt>
                <c:pt idx="1">
                  <c:v>Folding Chairs</c:v>
                </c:pt>
                <c:pt idx="2">
                  <c:v>Round Tables</c:v>
                </c:pt>
                <c:pt idx="3">
                  <c:v>Projectors</c:v>
                </c:pt>
                <c:pt idx="4">
                  <c:v>Microphones</c:v>
                </c:pt>
                <c:pt idx="5">
                  <c:v>Extension Cords</c:v>
                </c:pt>
                <c:pt idx="6">
                  <c:v>LED Lights</c:v>
                </c:pt>
                <c:pt idx="7">
                  <c:v>Banners (6x4 ft)</c:v>
                </c:pt>
                <c:pt idx="8">
                  <c:v>First Aid Kits</c:v>
                </c:pt>
                <c:pt idx="9">
                  <c:v>Water Dispensers</c:v>
                </c:pt>
                <c:pt idx="10">
                  <c:v>Laptops</c:v>
                </c:pt>
              </c:strCache>
            </c:strRef>
          </c:cat>
          <c:val>
            <c:numRef>
              <c:f>ResourcePlanning!$N$3:$N$13</c:f>
              <c:numCache>
                <c:formatCode>General</c:formatCode>
                <c:ptCount val="11"/>
                <c:pt idx="1">
                  <c:v>180</c:v>
                </c:pt>
                <c:pt idx="2">
                  <c:v>30</c:v>
                </c:pt>
                <c:pt idx="3">
                  <c:v>4</c:v>
                </c:pt>
                <c:pt idx="4">
                  <c:v>8</c:v>
                </c:pt>
                <c:pt idx="5">
                  <c:v>25</c:v>
                </c:pt>
                <c:pt idx="6">
                  <c:v>40</c:v>
                </c:pt>
                <c:pt idx="7">
                  <c:v>15</c:v>
                </c:pt>
                <c:pt idx="8">
                  <c:v>5</c:v>
                </c:pt>
                <c:pt idx="9">
                  <c:v>6</c:v>
                </c:pt>
                <c:pt idx="10">
                  <c:v>3</c:v>
                </c:pt>
              </c:numCache>
            </c:numRef>
          </c:val>
        </c:ser>
        <c:gapWidth val="150"/>
        <c:overlap val="0"/>
        <c:axId val="54955930"/>
        <c:axId val="42205735"/>
      </c:barChart>
      <c:catAx>
        <c:axId val="549559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205735"/>
        <c:crosses val="autoZero"/>
        <c:auto val="1"/>
        <c:lblAlgn val="ctr"/>
        <c:lblOffset val="100"/>
        <c:noMultiLvlLbl val="0"/>
      </c:catAx>
      <c:valAx>
        <c:axId val="422057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95593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ResourcePlanning!M16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ResourcePlanning!$L$17:$L$23</c:f>
              <c:strCache>
                <c:ptCount val="7"/>
                <c:pt idx="0">
                  <c:v>Furniture</c:v>
                </c:pt>
                <c:pt idx="1">
                  <c:v>AV Equipment</c:v>
                </c:pt>
                <c:pt idx="2">
                  <c:v>Electrical</c:v>
                </c:pt>
                <c:pt idx="3">
                  <c:v>Decoration</c:v>
                </c:pt>
                <c:pt idx="4">
                  <c:v>Marketing</c:v>
                </c:pt>
                <c:pt idx="5">
                  <c:v>Safety</c:v>
                </c:pt>
                <c:pt idx="6">
                  <c:v>Catering</c:v>
                </c:pt>
              </c:strCache>
            </c:strRef>
          </c:cat>
          <c:val>
            <c:numRef>
              <c:f>ResourcePlanning!$M$17:$M$23</c:f>
              <c:numCache>
                <c:formatCode>General</c:formatCode>
                <c:ptCount val="7"/>
                <c:pt idx="0">
                  <c:v>54000</c:v>
                </c:pt>
                <c:pt idx="1">
                  <c:v>17500</c:v>
                </c:pt>
                <c:pt idx="2">
                  <c:v>5000</c:v>
                </c:pt>
                <c:pt idx="3">
                  <c:v>17500</c:v>
                </c:pt>
                <c:pt idx="4">
                  <c:v>10500</c:v>
                </c:pt>
                <c:pt idx="5">
                  <c:v>2000</c:v>
                </c:pt>
                <c:pt idx="6">
                  <c:v>9600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Budget: Spent vs Remaining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"Spent"</c:f>
              <c:strCache>
                <c:ptCount val="1"/>
                <c:pt idx="0">
                  <c:v>Spent</c:v>
                </c:pt>
              </c:strCache>
            </c:strRef>
          </c:tx>
          <c:spPr>
            <a:solidFill>
              <a:srgbClr val="0d737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Pivot Summary'!$A$4:$A$10</c:f>
              <c:strCache>
                <c:ptCount val="7"/>
                <c:pt idx="0">
                  <c:v>Category</c:v>
                </c:pt>
                <c:pt idx="1">
                  <c:v>Venue &amp; Logistics</c:v>
                </c:pt>
                <c:pt idx="2">
                  <c:v>Food &amp; Catering</c:v>
                </c:pt>
                <c:pt idx="3">
                  <c:v>Decoration</c:v>
                </c:pt>
                <c:pt idx="4">
                  <c:v>Marketing &amp; Promo</c:v>
                </c:pt>
                <c:pt idx="5">
                  <c:v>Prizes &amp; Awards</c:v>
                </c:pt>
                <c:pt idx="6">
                  <c:v>Miscellaneous</c:v>
                </c:pt>
              </c:strCache>
            </c:strRef>
          </c:cat>
          <c:val>
            <c:numRef>
              <c:f>'📈 Pivot Summary'!$C$4:$C$10</c:f>
              <c:numCache>
                <c:formatCode>\₹#,##0</c:formatCode>
                <c:ptCount val="7"/>
                <c:pt idx="1">
                  <c:v>112000</c:v>
                </c:pt>
                <c:pt idx="2">
                  <c:v>65000</c:v>
                </c:pt>
                <c:pt idx="3">
                  <c:v>38500</c:v>
                </c:pt>
                <c:pt idx="4">
                  <c:v>18000</c:v>
                </c:pt>
                <c:pt idx="5">
                  <c:v>42000</c:v>
                </c:pt>
                <c:pt idx="6">
                  <c:v>8500</c:v>
                </c:pt>
              </c:numCache>
            </c:numRef>
          </c:val>
        </c:ser>
        <c:ser>
          <c:idx val="1"/>
          <c:order val="1"/>
          <c:tx>
            <c:strRef>
              <c:f>"Remaining"</c:f>
              <c:strCache>
                <c:ptCount val="1"/>
                <c:pt idx="0">
                  <c:v>Remaining</c:v>
                </c:pt>
              </c:strCache>
            </c:strRef>
          </c:tx>
          <c:spPr>
            <a:solidFill>
              <a:srgbClr val="aabbc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Pivot Summary'!$A$4:$A$10</c:f>
              <c:strCache>
                <c:ptCount val="7"/>
                <c:pt idx="0">
                  <c:v>Category</c:v>
                </c:pt>
                <c:pt idx="1">
                  <c:v>Venue &amp; Logistics</c:v>
                </c:pt>
                <c:pt idx="2">
                  <c:v>Food &amp; Catering</c:v>
                </c:pt>
                <c:pt idx="3">
                  <c:v>Decoration</c:v>
                </c:pt>
                <c:pt idx="4">
                  <c:v>Marketing &amp; Promo</c:v>
                </c:pt>
                <c:pt idx="5">
                  <c:v>Prizes &amp; Awards</c:v>
                </c:pt>
                <c:pt idx="6">
                  <c:v>Miscellaneous</c:v>
                </c:pt>
              </c:strCache>
            </c:strRef>
          </c:cat>
          <c:val>
            <c:numRef>
              <c:f>'📈 Pivot Summary'!$D$4:$D$10</c:f>
              <c:numCache>
                <c:formatCode>\₹#,##0</c:formatCode>
                <c:ptCount val="7"/>
                <c:pt idx="1">
                  <c:v>38000</c:v>
                </c:pt>
                <c:pt idx="2">
                  <c:v>15000</c:v>
                </c:pt>
                <c:pt idx="3">
                  <c:v>1500</c:v>
                </c:pt>
                <c:pt idx="4">
                  <c:v>12000</c:v>
                </c:pt>
                <c:pt idx="5">
                  <c:v>8000</c:v>
                </c:pt>
                <c:pt idx="6">
                  <c:v>11500</c:v>
                </c:pt>
              </c:numCache>
            </c:numRef>
          </c:val>
        </c:ser>
        <c:gapWidth val="150"/>
        <c:overlap val="100"/>
        <c:axId val="2111160"/>
        <c:axId val="51589573"/>
      </c:barChart>
      <c:catAx>
        <c:axId val="2111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589573"/>
        <c:crosses val="autoZero"/>
        <c:auto val="1"/>
        <c:lblAlgn val="ctr"/>
        <c:lblOffset val="100"/>
        <c:noMultiLvlLbl val="0"/>
      </c:catAx>
      <c:valAx>
        <c:axId val="515895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111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Event Health Overview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'📈 Pivot Summary'!H4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1e844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392b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0d737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1e844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c0392b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d35400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'📈 Pivot Summary'!$G$5:$G$10</c:f>
              <c:strCache>
                <c:ptCount val="6"/>
                <c:pt idx="0">
                  <c:v>Tasks: Completed</c:v>
                </c:pt>
                <c:pt idx="1">
                  <c:v>Tasks: Overdue</c:v>
                </c:pt>
                <c:pt idx="2">
                  <c:v>Tasks: In Progress</c:v>
                </c:pt>
                <c:pt idx="3">
                  <c:v>Vols: Assigned</c:v>
                </c:pt>
                <c:pt idx="4">
                  <c:v>Vols: Absent</c:v>
                </c:pt>
                <c:pt idx="5">
                  <c:v>Resources: Pending</c:v>
                </c:pt>
              </c:strCache>
            </c:strRef>
          </c:cat>
          <c:val>
            <c:numRef>
              <c:f>'📈 Pivot Summary'!$H$5:$H$10</c:f>
              <c:numCache>
                <c:formatCode>General</c:formatCode>
                <c:ptCount val="6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8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5</xdr:col>
      <xdr:colOff>317160</xdr:colOff>
      <xdr:row>26</xdr:row>
      <xdr:rowOff>37080</xdr:rowOff>
    </xdr:to>
    <xdr:graphicFrame>
      <xdr:nvGraphicFramePr>
        <xdr:cNvPr id="0" name="Chart 1"/>
        <xdr:cNvGraphicFramePr/>
      </xdr:nvGraphicFramePr>
      <xdr:xfrm>
        <a:off x="0" y="233352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9</xdr:row>
      <xdr:rowOff>0</xdr:rowOff>
    </xdr:from>
    <xdr:to>
      <xdr:col>11</xdr:col>
      <xdr:colOff>294480</xdr:colOff>
      <xdr:row>26</xdr:row>
      <xdr:rowOff>37080</xdr:rowOff>
    </xdr:to>
    <xdr:graphicFrame>
      <xdr:nvGraphicFramePr>
        <xdr:cNvPr id="1" name="Chart 2"/>
        <xdr:cNvGraphicFramePr/>
      </xdr:nvGraphicFramePr>
      <xdr:xfrm>
        <a:off x="6555240" y="2333520"/>
        <a:ext cx="39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78120</xdr:rowOff>
    </xdr:from>
    <xdr:to>
      <xdr:col>5</xdr:col>
      <xdr:colOff>261720</xdr:colOff>
      <xdr:row>33</xdr:row>
      <xdr:rowOff>16200</xdr:rowOff>
    </xdr:to>
    <xdr:graphicFrame>
      <xdr:nvGraphicFramePr>
        <xdr:cNvPr id="2" name="Chart 1"/>
        <xdr:cNvGraphicFramePr/>
      </xdr:nvGraphicFramePr>
      <xdr:xfrm>
        <a:off x="0" y="236232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10</xdr:row>
      <xdr:rowOff>78120</xdr:rowOff>
    </xdr:from>
    <xdr:to>
      <xdr:col>11</xdr:col>
      <xdr:colOff>168840</xdr:colOff>
      <xdr:row>29</xdr:row>
      <xdr:rowOff>58320</xdr:rowOff>
    </xdr:to>
    <xdr:graphicFrame>
      <xdr:nvGraphicFramePr>
        <xdr:cNvPr id="3" name="Chart 2"/>
        <xdr:cNvGraphicFramePr/>
      </xdr:nvGraphicFramePr>
      <xdr:xfrm>
        <a:off x="8458200" y="2362320"/>
        <a:ext cx="35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4</xdr:col>
      <xdr:colOff>1022040</xdr:colOff>
      <xdr:row>32</xdr:row>
      <xdr:rowOff>170640</xdr:rowOff>
    </xdr:to>
    <xdr:graphicFrame>
      <xdr:nvGraphicFramePr>
        <xdr:cNvPr id="4" name="Chart 1"/>
        <xdr:cNvGraphicFramePr/>
      </xdr:nvGraphicFramePr>
      <xdr:xfrm>
        <a:off x="0" y="293364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14</xdr:row>
      <xdr:rowOff>0</xdr:rowOff>
    </xdr:from>
    <xdr:to>
      <xdr:col>10</xdr:col>
      <xdr:colOff>1069920</xdr:colOff>
      <xdr:row>32</xdr:row>
      <xdr:rowOff>170640</xdr:rowOff>
    </xdr:to>
    <xdr:graphicFrame>
      <xdr:nvGraphicFramePr>
        <xdr:cNvPr id="5" name="Chart 2"/>
        <xdr:cNvGraphicFramePr/>
      </xdr:nvGraphicFramePr>
      <xdr:xfrm>
        <a:off x="6837120" y="2933640"/>
        <a:ext cx="39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3</xdr:col>
      <xdr:colOff>873360</xdr:colOff>
      <xdr:row>31</xdr:row>
      <xdr:rowOff>1080</xdr:rowOff>
    </xdr:to>
    <xdr:graphicFrame>
      <xdr:nvGraphicFramePr>
        <xdr:cNvPr id="6" name="Chart 1"/>
        <xdr:cNvGraphicFramePr/>
      </xdr:nvGraphicFramePr>
      <xdr:xfrm>
        <a:off x="0" y="293364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14</xdr:row>
      <xdr:rowOff>0</xdr:rowOff>
    </xdr:from>
    <xdr:to>
      <xdr:col>11</xdr:col>
      <xdr:colOff>294480</xdr:colOff>
      <xdr:row>31</xdr:row>
      <xdr:rowOff>1080</xdr:rowOff>
    </xdr:to>
    <xdr:graphicFrame>
      <xdr:nvGraphicFramePr>
        <xdr:cNvPr id="7" name="Chart 2"/>
        <xdr:cNvGraphicFramePr/>
      </xdr:nvGraphicFramePr>
      <xdr:xfrm>
        <a:off x="7612560" y="2933640"/>
        <a:ext cx="39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78120</xdr:rowOff>
    </xdr:from>
    <xdr:to>
      <xdr:col>5</xdr:col>
      <xdr:colOff>473400</xdr:colOff>
      <xdr:row>37</xdr:row>
      <xdr:rowOff>16200</xdr:rowOff>
    </xdr:to>
    <xdr:graphicFrame>
      <xdr:nvGraphicFramePr>
        <xdr:cNvPr id="8" name="Chart 1"/>
        <xdr:cNvGraphicFramePr/>
      </xdr:nvGraphicFramePr>
      <xdr:xfrm>
        <a:off x="0" y="312408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14</xdr:row>
      <xdr:rowOff>78120</xdr:rowOff>
    </xdr:from>
    <xdr:to>
      <xdr:col>13</xdr:col>
      <xdr:colOff>317160</xdr:colOff>
      <xdr:row>33</xdr:row>
      <xdr:rowOff>57960</xdr:rowOff>
    </xdr:to>
    <xdr:graphicFrame>
      <xdr:nvGraphicFramePr>
        <xdr:cNvPr id="9" name="Chart 2"/>
        <xdr:cNvGraphicFramePr/>
      </xdr:nvGraphicFramePr>
      <xdr:xfrm>
        <a:off x="9374400" y="3124080"/>
        <a:ext cx="39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0</xdr:rowOff>
    </xdr:from>
    <xdr:to>
      <xdr:col>6</xdr:col>
      <xdr:colOff>50400</xdr:colOff>
      <xdr:row>34</xdr:row>
      <xdr:rowOff>128520</xdr:rowOff>
    </xdr:to>
    <xdr:graphicFrame>
      <xdr:nvGraphicFramePr>
        <xdr:cNvPr id="10" name="Chart 1"/>
        <xdr:cNvGraphicFramePr/>
      </xdr:nvGraphicFramePr>
      <xdr:xfrm>
        <a:off x="0" y="255276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12</xdr:row>
      <xdr:rowOff>0</xdr:rowOff>
    </xdr:from>
    <xdr:to>
      <xdr:col>13</xdr:col>
      <xdr:colOff>229680</xdr:colOff>
      <xdr:row>34</xdr:row>
      <xdr:rowOff>128520</xdr:rowOff>
    </xdr:to>
    <xdr:graphicFrame>
      <xdr:nvGraphicFramePr>
        <xdr:cNvPr id="11" name="Chart 2"/>
        <xdr:cNvGraphicFramePr/>
      </xdr:nvGraphicFramePr>
      <xdr:xfrm>
        <a:off x="7260120" y="2552760"/>
        <a:ext cx="43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6B"/>
    <pageSetUpPr fitToPage="false"/>
  </sheetPr>
  <dimension ref="A1:R79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13" min="3" style="0" width="13"/>
    <col collapsed="false" customWidth="true" hidden="false" outlineLevel="0" max="14" min="14" style="0" width="18"/>
    <col collapsed="false" customWidth="true" hidden="false" outlineLevel="0" max="18" min="15" style="0" width="13"/>
  </cols>
  <sheetData>
    <row r="1" customFormat="false" ht="5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6.5" hidden="false" customHeight="true" outlineLevel="0" collapsed="false"/>
    <row r="3" customFormat="false" ht="16.5" hidden="false" customHeight="true" outlineLevel="0" collapsed="false">
      <c r="A3" s="2" t="s">
        <v>1</v>
      </c>
      <c r="B3" s="2"/>
      <c r="C3" s="2"/>
      <c r="D3" s="2"/>
      <c r="E3" s="3" t="s">
        <v>2</v>
      </c>
      <c r="F3" s="3"/>
      <c r="G3" s="3"/>
      <c r="H3" s="3"/>
      <c r="I3" s="4" t="s">
        <v>3</v>
      </c>
      <c r="J3" s="4"/>
      <c r="K3" s="4"/>
      <c r="L3" s="4"/>
      <c r="M3" s="5" t="s">
        <v>4</v>
      </c>
      <c r="N3" s="5"/>
      <c r="O3" s="5"/>
      <c r="P3" s="5"/>
    </row>
    <row r="4" customFormat="false" ht="16.5" hidden="false" customHeight="true" outlineLevel="0" collapsed="false">
      <c r="A4" s="2"/>
      <c r="B4" s="2"/>
      <c r="C4" s="2"/>
      <c r="D4" s="2"/>
      <c r="E4" s="3"/>
      <c r="F4" s="3"/>
      <c r="G4" s="3"/>
      <c r="H4" s="3"/>
      <c r="I4" s="4"/>
      <c r="J4" s="4"/>
      <c r="K4" s="4"/>
      <c r="L4" s="4"/>
      <c r="M4" s="5"/>
      <c r="N4" s="5"/>
      <c r="O4" s="5"/>
      <c r="P4" s="5"/>
    </row>
    <row r="5" customFormat="false" ht="16.5" hidden="false" customHeight="true" outlineLevel="0" collapsed="false">
      <c r="A5" s="2"/>
      <c r="B5" s="2"/>
      <c r="C5" s="2"/>
      <c r="D5" s="2"/>
      <c r="E5" s="3"/>
      <c r="F5" s="3"/>
      <c r="G5" s="3"/>
      <c r="H5" s="3"/>
      <c r="I5" s="4"/>
      <c r="J5" s="4"/>
      <c r="K5" s="4"/>
      <c r="L5" s="4"/>
      <c r="M5" s="5"/>
      <c r="N5" s="5"/>
      <c r="O5" s="5"/>
      <c r="P5" s="5"/>
    </row>
    <row r="6" customFormat="false" ht="16.5" hidden="false" customHeight="true" outlineLevel="0" collapsed="false">
      <c r="A6" s="6" t="n">
        <f aca="false">BudgetTracker!B2</f>
        <v>370000</v>
      </c>
      <c r="B6" s="6"/>
      <c r="C6" s="6"/>
      <c r="D6" s="6"/>
      <c r="E6" s="7" t="str">
        <f aca="false">TEXT(BudgetTracker!H2,"0.0%")</f>
        <v>76.8%</v>
      </c>
      <c r="F6" s="7"/>
      <c r="G6" s="7"/>
      <c r="H6" s="7"/>
      <c r="I6" s="8" t="n">
        <f aca="false">VolunteerAllocation!H2</f>
        <v>8</v>
      </c>
      <c r="J6" s="8"/>
      <c r="K6" s="8"/>
      <c r="L6" s="8"/>
      <c r="M6" s="9" t="str">
        <f aca="false">TEXT(TaskTracker!I2,"0%")</f>
        <v>30%</v>
      </c>
      <c r="N6" s="9"/>
      <c r="O6" s="9"/>
      <c r="P6" s="9"/>
    </row>
    <row r="7" customFormat="false" ht="16.5" hidden="false" customHeight="true" outlineLevel="0" collapsed="false">
      <c r="A7" s="6"/>
      <c r="B7" s="6"/>
      <c r="C7" s="6"/>
      <c r="D7" s="6"/>
      <c r="E7" s="7"/>
      <c r="F7" s="7"/>
      <c r="G7" s="7"/>
      <c r="H7" s="7"/>
      <c r="I7" s="8"/>
      <c r="J7" s="8"/>
      <c r="K7" s="8"/>
      <c r="L7" s="8"/>
      <c r="M7" s="9"/>
      <c r="N7" s="9"/>
      <c r="O7" s="9"/>
      <c r="P7" s="9"/>
    </row>
    <row r="8" customFormat="false" ht="16.5" hidden="false" customHeight="true" outlineLevel="0" collapsed="false"/>
    <row r="9" customFormat="false" ht="16.5" hidden="false" customHeight="true" outlineLevel="0" collapsed="false">
      <c r="A9" s="3" t="s">
        <v>5</v>
      </c>
      <c r="B9" s="3"/>
      <c r="C9" s="3"/>
      <c r="D9" s="3"/>
      <c r="E9" s="3"/>
      <c r="F9" s="3"/>
      <c r="G9" s="3"/>
      <c r="H9" s="2" t="s">
        <v>6</v>
      </c>
      <c r="I9" s="2"/>
      <c r="J9" s="2"/>
      <c r="K9" s="2"/>
      <c r="L9" s="2"/>
      <c r="M9" s="2"/>
      <c r="N9" s="10" t="s">
        <v>7</v>
      </c>
      <c r="O9" s="10"/>
      <c r="P9" s="10"/>
      <c r="Q9" s="10"/>
      <c r="R9" s="10"/>
    </row>
    <row r="10" customFormat="false" ht="16.5" hidden="false" customHeight="true" outlineLevel="0" collapsed="false">
      <c r="N10" s="11" t="s">
        <v>8</v>
      </c>
      <c r="O10" s="11"/>
      <c r="P10" s="11"/>
      <c r="Q10" s="11"/>
      <c r="R10" s="11"/>
    </row>
    <row r="11" customFormat="false" ht="16.5" hidden="false" customHeight="true" outlineLevel="0" collapsed="false">
      <c r="N11" s="12" t="n">
        <f aca="false">COUNTA(TaskTracker!B4:B100)</f>
        <v>10</v>
      </c>
      <c r="O11" s="12"/>
      <c r="P11" s="12"/>
      <c r="Q11" s="12"/>
      <c r="R11" s="12"/>
    </row>
    <row r="12" customFormat="false" ht="16.5" hidden="false" customHeight="true" outlineLevel="0" collapsed="false">
      <c r="N12" s="13" t="s">
        <v>9</v>
      </c>
      <c r="O12" s="13"/>
      <c r="P12" s="13"/>
      <c r="Q12" s="13"/>
      <c r="R12" s="13"/>
    </row>
    <row r="13" customFormat="false" ht="16.5" hidden="false" customHeight="true" outlineLevel="0" collapsed="false">
      <c r="N13" s="14" t="n">
        <f aca="false">COUNTIF(TaskTracker!G:G,"Overdue")</f>
        <v>1</v>
      </c>
      <c r="O13" s="14"/>
      <c r="P13" s="14"/>
      <c r="Q13" s="14"/>
      <c r="R13" s="14"/>
    </row>
    <row r="14" customFormat="false" ht="16.5" hidden="false" customHeight="true" outlineLevel="0" collapsed="false">
      <c r="N14" s="15" t="s">
        <v>10</v>
      </c>
      <c r="O14" s="15"/>
      <c r="P14" s="15"/>
      <c r="Q14" s="15"/>
      <c r="R14" s="15"/>
    </row>
    <row r="15" customFormat="false" ht="16.5" hidden="false" customHeight="true" outlineLevel="0" collapsed="false">
      <c r="N15" s="16" t="n">
        <f aca="false">COUNTA(VolunteerAllocation!A4:A100)</f>
        <v>10</v>
      </c>
      <c r="O15" s="16"/>
      <c r="P15" s="16"/>
      <c r="Q15" s="16"/>
      <c r="R15" s="16"/>
    </row>
    <row r="16" customFormat="false" ht="16.5" hidden="false" customHeight="true" outlineLevel="0" collapsed="false">
      <c r="N16" s="17" t="s">
        <v>11</v>
      </c>
      <c r="O16" s="17"/>
      <c r="P16" s="17"/>
      <c r="Q16" s="17"/>
      <c r="R16" s="17"/>
    </row>
    <row r="17" customFormat="false" ht="16.5" hidden="false" customHeight="true" outlineLevel="0" collapsed="false">
      <c r="N17" s="18" t="n">
        <f aca="false">COUNTIF(ResourcePlanning!J4:J100,"Pending")</f>
        <v>3</v>
      </c>
      <c r="O17" s="18"/>
      <c r="P17" s="18"/>
      <c r="Q17" s="18"/>
      <c r="R17" s="18"/>
    </row>
    <row r="18" customFormat="false" ht="16.5" hidden="false" customHeight="true" outlineLevel="0" collapsed="false">
      <c r="N18" s="19" t="s">
        <v>12</v>
      </c>
      <c r="O18" s="19"/>
      <c r="P18" s="19"/>
      <c r="Q18" s="19"/>
      <c r="R18" s="19"/>
    </row>
    <row r="19" customFormat="false" ht="16.5" hidden="false" customHeight="true" outlineLevel="0" collapsed="false">
      <c r="N19" s="20" t="n">
        <f aca="false">BudgetTracker!G10</f>
        <v>86000</v>
      </c>
      <c r="O19" s="20"/>
      <c r="P19" s="20"/>
      <c r="Q19" s="20"/>
      <c r="R19" s="20"/>
    </row>
    <row r="20" customFormat="false" ht="16.5" hidden="false" customHeight="true" outlineLevel="0" collapsed="false">
      <c r="N20" s="21" t="s">
        <v>13</v>
      </c>
      <c r="O20" s="21"/>
      <c r="P20" s="21"/>
      <c r="Q20" s="21"/>
      <c r="R20" s="21"/>
    </row>
    <row r="21" customFormat="false" ht="16.5" hidden="false" customHeight="true" outlineLevel="0" collapsed="false">
      <c r="N21" s="22" t="str">
        <f aca="false">TEXT(TaskTracker!I2,"0%")</f>
        <v>30%</v>
      </c>
      <c r="O21" s="22"/>
      <c r="P21" s="22"/>
      <c r="Q21" s="22"/>
      <c r="R21" s="22"/>
    </row>
    <row r="22" customFormat="false" ht="16.5" hidden="false" customHeight="true" outlineLevel="0" collapsed="false"/>
    <row r="23" customFormat="false" ht="16.5" hidden="false" customHeight="true" outlineLevel="0" collapsed="false"/>
    <row r="24" customFormat="false" ht="16.5" hidden="false" customHeight="true" outlineLevel="0" collapsed="false"/>
    <row r="25" customFormat="false" ht="16.5" hidden="false" customHeight="true" outlineLevel="0" collapsed="false"/>
    <row r="26" customFormat="false" ht="16.5" hidden="false" customHeight="true" outlineLevel="0" collapsed="false"/>
    <row r="27" customFormat="false" ht="16.5" hidden="false" customHeight="true" outlineLevel="0" collapsed="false">
      <c r="A27" s="2" t="s">
        <v>14</v>
      </c>
      <c r="B27" s="2"/>
      <c r="C27" s="2"/>
      <c r="D27" s="2"/>
      <c r="E27" s="2"/>
      <c r="F27" s="2"/>
      <c r="G27" s="2"/>
    </row>
    <row r="28" customFormat="false" ht="16.5" hidden="false" customHeight="true" outlineLevel="0" collapsed="false">
      <c r="A28" s="23" t="s">
        <v>15</v>
      </c>
      <c r="B28" s="23" t="s">
        <v>16</v>
      </c>
      <c r="C28" s="23" t="s">
        <v>17</v>
      </c>
      <c r="D28" s="23" t="s">
        <v>18</v>
      </c>
      <c r="E28" s="23" t="s">
        <v>19</v>
      </c>
      <c r="F28" s="23" t="s">
        <v>20</v>
      </c>
    </row>
    <row r="29" customFormat="false" ht="16.5" hidden="false" customHeight="true" outlineLevel="0" collapsed="false">
      <c r="A29" s="24" t="s">
        <v>21</v>
      </c>
      <c r="B29" s="24" t="n">
        <v>5</v>
      </c>
      <c r="C29" s="24" t="n">
        <v>4</v>
      </c>
      <c r="D29" s="24" t="n">
        <f aca="false">C29-B29</f>
        <v>-1</v>
      </c>
      <c r="E29" s="25" t="n">
        <f aca="false">IFERROR(C29/B29,0)</f>
        <v>0.8</v>
      </c>
      <c r="F29" s="26" t="s">
        <v>22</v>
      </c>
    </row>
    <row r="30" customFormat="false" ht="16.5" hidden="false" customHeight="true" outlineLevel="0" collapsed="false">
      <c r="A30" s="27" t="s">
        <v>23</v>
      </c>
      <c r="B30" s="27" t="n">
        <v>8</v>
      </c>
      <c r="C30" s="27" t="n">
        <v>8</v>
      </c>
      <c r="D30" s="27" t="n">
        <f aca="false">C30-B30</f>
        <v>0</v>
      </c>
      <c r="E30" s="28" t="n">
        <f aca="false">IFERROR(C30/B30,0)</f>
        <v>1</v>
      </c>
      <c r="F30" s="29" t="s">
        <v>24</v>
      </c>
    </row>
    <row r="31" customFormat="false" ht="16.5" hidden="false" customHeight="true" outlineLevel="0" collapsed="false">
      <c r="A31" s="24" t="s">
        <v>25</v>
      </c>
      <c r="B31" s="24" t="n">
        <v>6</v>
      </c>
      <c r="C31" s="24" t="n">
        <v>5</v>
      </c>
      <c r="D31" s="24" t="n">
        <f aca="false">C31-B31</f>
        <v>-1</v>
      </c>
      <c r="E31" s="25" t="n">
        <f aca="false">IFERROR(C31/B31,0)</f>
        <v>0.833333333333333</v>
      </c>
      <c r="F31" s="26" t="s">
        <v>22</v>
      </c>
    </row>
    <row r="32" customFormat="false" ht="16.5" hidden="false" customHeight="true" outlineLevel="0" collapsed="false">
      <c r="A32" s="27" t="s">
        <v>26</v>
      </c>
      <c r="B32" s="27" t="n">
        <v>4</v>
      </c>
      <c r="C32" s="27" t="n">
        <v>3</v>
      </c>
      <c r="D32" s="27" t="n">
        <f aca="false">C32-B32</f>
        <v>-1</v>
      </c>
      <c r="E32" s="28" t="n">
        <f aca="false">IFERROR(C32/B32,0)</f>
        <v>0.75</v>
      </c>
      <c r="F32" s="30" t="s">
        <v>22</v>
      </c>
    </row>
    <row r="33" customFormat="false" ht="16.5" hidden="false" customHeight="true" outlineLevel="0" collapsed="false">
      <c r="A33" s="24" t="s">
        <v>27</v>
      </c>
      <c r="B33" s="24" t="n">
        <v>10</v>
      </c>
      <c r="C33" s="24" t="n">
        <v>10</v>
      </c>
      <c r="D33" s="24" t="n">
        <f aca="false">C33-B33</f>
        <v>0</v>
      </c>
      <c r="E33" s="25" t="n">
        <f aca="false">IFERROR(C33/B33,0)</f>
        <v>1</v>
      </c>
      <c r="F33" s="31" t="s">
        <v>24</v>
      </c>
    </row>
    <row r="34" customFormat="false" ht="16.5" hidden="false" customHeight="true" outlineLevel="0" collapsed="false">
      <c r="A34" s="27" t="s">
        <v>28</v>
      </c>
      <c r="B34" s="27" t="n">
        <v>6</v>
      </c>
      <c r="C34" s="27" t="n">
        <v>4</v>
      </c>
      <c r="D34" s="27" t="n">
        <f aca="false">C34-B34</f>
        <v>-2</v>
      </c>
      <c r="E34" s="28" t="n">
        <f aca="false">IFERROR(C34/B34,0)</f>
        <v>0.666666666666667</v>
      </c>
      <c r="F34" s="32" t="s">
        <v>29</v>
      </c>
    </row>
    <row r="35" customFormat="false" ht="16.5" hidden="false" customHeight="true" outlineLevel="0" collapsed="false">
      <c r="A35" s="0" t="s">
        <v>30</v>
      </c>
      <c r="B35" s="0" t="n">
        <v>50000</v>
      </c>
      <c r="C35" s="0" t="n">
        <v>42000</v>
      </c>
    </row>
    <row r="36" customFormat="false" ht="16.5" hidden="false" customHeight="true" outlineLevel="0" collapsed="false">
      <c r="A36" s="0" t="s">
        <v>31</v>
      </c>
      <c r="B36" s="0" t="n">
        <v>20000</v>
      </c>
      <c r="C36" s="0" t="n">
        <v>8500</v>
      </c>
    </row>
    <row r="37" customFormat="false" ht="16.5" hidden="false" customHeight="true" outlineLevel="0" collapsed="false"/>
    <row r="38" customFormat="false" ht="16.5" hidden="false" customHeight="true" outlineLevel="0" collapsed="false"/>
    <row r="39" customFormat="false" ht="16.5" hidden="false" customHeight="true" outlineLevel="0" collapsed="false"/>
    <row r="40" customFormat="false" ht="16.5" hidden="false" customHeight="true" outlineLevel="0" collapsed="false"/>
    <row r="41" customFormat="false" ht="16.5" hidden="false" customHeight="true" outlineLevel="0" collapsed="false"/>
    <row r="42" customFormat="false" ht="16.5" hidden="false" customHeight="true" outlineLevel="0" collapsed="false"/>
    <row r="43" customFormat="false" ht="16.5" hidden="false" customHeight="true" outlineLevel="0" collapsed="false"/>
    <row r="44" customFormat="false" ht="16.5" hidden="false" customHeight="true" outlineLevel="0" collapsed="false"/>
    <row r="45" customFormat="false" ht="16.5" hidden="false" customHeight="true" outlineLevel="0" collapsed="false"/>
    <row r="46" customFormat="false" ht="16.5" hidden="false" customHeight="true" outlineLevel="0" collapsed="false"/>
    <row r="47" customFormat="false" ht="16.5" hidden="false" customHeight="true" outlineLevel="0" collapsed="false"/>
    <row r="48" customFormat="false" ht="16.5" hidden="false" customHeight="true" outlineLevel="0" collapsed="false"/>
    <row r="49" customFormat="false" ht="16.5" hidden="false" customHeight="true" outlineLevel="0" collapsed="false"/>
    <row r="50" customFormat="false" ht="16.5" hidden="false" customHeight="true" outlineLevel="0" collapsed="false"/>
    <row r="51" customFormat="false" ht="16.5" hidden="false" customHeight="true" outlineLevel="0" collapsed="false"/>
    <row r="52" customFormat="false" ht="16.5" hidden="false" customHeight="true" outlineLevel="0" collapsed="false"/>
    <row r="53" customFormat="false" ht="16.5" hidden="false" customHeight="true" outlineLevel="0" collapsed="false"/>
    <row r="54" customFormat="false" ht="16.5" hidden="false" customHeight="true" outlineLevel="0" collapsed="false"/>
    <row r="55" customFormat="false" ht="16.5" hidden="false" customHeight="true" outlineLevel="0" collapsed="false"/>
    <row r="56" customFormat="false" ht="16.5" hidden="false" customHeight="true" outlineLevel="0" collapsed="false"/>
    <row r="57" customFormat="false" ht="16.5" hidden="false" customHeight="true" outlineLevel="0" collapsed="false"/>
    <row r="58" customFormat="false" ht="16.5" hidden="false" customHeight="true" outlineLevel="0" collapsed="false"/>
    <row r="59" customFormat="false" ht="16.5" hidden="false" customHeight="true" outlineLevel="0" collapsed="false"/>
    <row r="60" customFormat="false" ht="16.5" hidden="false" customHeight="true" outlineLevel="0" collapsed="false"/>
    <row r="61" customFormat="false" ht="16.5" hidden="false" customHeight="true" outlineLevel="0" collapsed="false"/>
    <row r="62" customFormat="false" ht="16.5" hidden="false" customHeight="true" outlineLevel="0" collapsed="false"/>
    <row r="63" customFormat="false" ht="16.5" hidden="false" customHeight="true" outlineLevel="0" collapsed="false"/>
    <row r="64" customFormat="false" ht="16.5" hidden="false" customHeight="true" outlineLevel="0" collapsed="false"/>
    <row r="65" customFormat="false" ht="16.5" hidden="false" customHeight="true" outlineLevel="0" collapsed="false"/>
    <row r="66" customFormat="false" ht="16.5" hidden="false" customHeight="true" outlineLevel="0" collapsed="false"/>
    <row r="67" customFormat="false" ht="16.5" hidden="false" customHeight="true" outlineLevel="0" collapsed="false"/>
    <row r="68" customFormat="false" ht="16.5" hidden="false" customHeight="true" outlineLevel="0" collapsed="false"/>
    <row r="69" customFormat="false" ht="16.5" hidden="false" customHeight="true" outlineLevel="0" collapsed="false"/>
    <row r="70" customFormat="false" ht="16.5" hidden="false" customHeight="true" outlineLevel="0" collapsed="false"/>
    <row r="71" customFormat="false" ht="16.5" hidden="false" customHeight="true" outlineLevel="0" collapsed="false"/>
    <row r="72" customFormat="false" ht="16.5" hidden="false" customHeight="true" outlineLevel="0" collapsed="false"/>
    <row r="73" customFormat="false" ht="16.5" hidden="false" customHeight="true" outlineLevel="0" collapsed="false"/>
    <row r="74" customFormat="false" ht="16.5" hidden="false" customHeight="true" outlineLevel="0" collapsed="false"/>
    <row r="75" customFormat="false" ht="16.5" hidden="false" customHeight="true" outlineLevel="0" collapsed="false"/>
    <row r="76" customFormat="false" ht="16.5" hidden="false" customHeight="true" outlineLevel="0" collapsed="false"/>
    <row r="77" customFormat="false" ht="16.5" hidden="false" customHeight="true" outlineLevel="0" collapsed="false"/>
    <row r="78" customFormat="false" ht="16.5" hidden="false" customHeight="true" outlineLevel="0" collapsed="false"/>
    <row r="79" customFormat="false" ht="16.5" hidden="false" customHeight="true" outlineLevel="0" collapsed="false"/>
  </sheetData>
  <mergeCells count="25">
    <mergeCell ref="A1:R1"/>
    <mergeCell ref="A3:D5"/>
    <mergeCell ref="E3:H5"/>
    <mergeCell ref="I3:L5"/>
    <mergeCell ref="M3:P5"/>
    <mergeCell ref="A6:D7"/>
    <mergeCell ref="E6:H7"/>
    <mergeCell ref="I6:L7"/>
    <mergeCell ref="M6:P7"/>
    <mergeCell ref="A9:G9"/>
    <mergeCell ref="H9:M9"/>
    <mergeCell ref="N9:R9"/>
    <mergeCell ref="N10:R10"/>
    <mergeCell ref="N11:R11"/>
    <mergeCell ref="N12:R12"/>
    <mergeCell ref="N13:R13"/>
    <mergeCell ref="N14:R14"/>
    <mergeCell ref="N15:R15"/>
    <mergeCell ref="N16:R16"/>
    <mergeCell ref="N17:R17"/>
    <mergeCell ref="N18:R18"/>
    <mergeCell ref="N19:R19"/>
    <mergeCell ref="N20:R20"/>
    <mergeCell ref="N21:R21"/>
    <mergeCell ref="A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7377"/>
    <pageSetUpPr fitToPage="false"/>
  </sheetPr>
  <dimension ref="A1:N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7" min="6" style="0" width="16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26"/>
  </cols>
  <sheetData>
    <row r="1" customFormat="false" ht="36" hidden="false" customHeight="true" outlineLevel="0" collapsed="false">
      <c r="A1" s="33" t="s">
        <v>32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customFormat="false" ht="15" hidden="false" customHeight="false" outlineLevel="0" collapsed="false">
      <c r="B2" s="0" t="n">
        <v>370000</v>
      </c>
      <c r="H2" s="34" t="n">
        <f aca="false">IFERROR(SUM(F4:F9)/B2,0)</f>
        <v>0.767567567567568</v>
      </c>
    </row>
    <row r="3" customFormat="false" ht="15" hidden="false" customHeight="false" outlineLevel="0" collapsed="false">
      <c r="A3" s="35" t="s">
        <v>33</v>
      </c>
      <c r="B3" s="35" t="s">
        <v>34</v>
      </c>
      <c r="C3" s="35" t="s">
        <v>35</v>
      </c>
      <c r="D3" s="35" t="s">
        <v>36</v>
      </c>
      <c r="E3" s="35" t="s">
        <v>37</v>
      </c>
      <c r="F3" s="35" t="s">
        <v>38</v>
      </c>
      <c r="G3" s="35" t="s">
        <v>39</v>
      </c>
      <c r="H3" s="35" t="s">
        <v>40</v>
      </c>
      <c r="I3" s="35" t="s">
        <v>20</v>
      </c>
      <c r="J3" s="35" t="s">
        <v>41</v>
      </c>
      <c r="L3" s="36" t="s">
        <v>35</v>
      </c>
      <c r="M3" s="36" t="s">
        <v>42</v>
      </c>
      <c r="N3" s="36" t="s">
        <v>43</v>
      </c>
    </row>
    <row r="4" customFormat="false" ht="15" hidden="false" customHeight="false" outlineLevel="0" collapsed="false">
      <c r="A4" s="27" t="n">
        <v>1</v>
      </c>
      <c r="B4" s="27" t="s">
        <v>44</v>
      </c>
      <c r="C4" s="27" t="s">
        <v>45</v>
      </c>
      <c r="D4" s="37" t="n">
        <v>150000</v>
      </c>
      <c r="E4" s="27" t="s">
        <v>46</v>
      </c>
      <c r="F4" s="37" t="n">
        <v>112000</v>
      </c>
      <c r="G4" s="37" t="n">
        <f aca="false">D4-F4</f>
        <v>38000</v>
      </c>
      <c r="H4" s="28" t="n">
        <f aca="false">IFERROR(F4/D4,0)</f>
        <v>0.746666666666667</v>
      </c>
      <c r="I4" s="29" t="s">
        <v>47</v>
      </c>
      <c r="J4" s="27"/>
      <c r="L4" s="36" t="s">
        <v>45</v>
      </c>
      <c r="M4" s="0" t="n">
        <v>150000</v>
      </c>
      <c r="N4" s="0" t="n">
        <v>112000</v>
      </c>
    </row>
    <row r="5" customFormat="false" ht="15" hidden="false" customHeight="false" outlineLevel="0" collapsed="false">
      <c r="A5" s="24" t="n">
        <v>2</v>
      </c>
      <c r="B5" s="24" t="s">
        <v>44</v>
      </c>
      <c r="C5" s="24" t="s">
        <v>48</v>
      </c>
      <c r="D5" s="38" t="n">
        <v>80000</v>
      </c>
      <c r="E5" s="24" t="s">
        <v>49</v>
      </c>
      <c r="F5" s="38" t="n">
        <v>65000</v>
      </c>
      <c r="G5" s="38" t="n">
        <f aca="false">D5-F5</f>
        <v>15000</v>
      </c>
      <c r="H5" s="25" t="n">
        <f aca="false">IFERROR(F5/D5,0)</f>
        <v>0.8125</v>
      </c>
      <c r="I5" s="31" t="s">
        <v>47</v>
      </c>
      <c r="J5" s="24"/>
      <c r="L5" s="36" t="s">
        <v>48</v>
      </c>
      <c r="M5" s="0" t="n">
        <v>80000</v>
      </c>
      <c r="N5" s="0" t="n">
        <v>65000</v>
      </c>
    </row>
    <row r="6" customFormat="false" ht="15" hidden="false" customHeight="false" outlineLevel="0" collapsed="false">
      <c r="A6" s="27" t="n">
        <v>3</v>
      </c>
      <c r="B6" s="27" t="s">
        <v>44</v>
      </c>
      <c r="C6" s="27" t="s">
        <v>50</v>
      </c>
      <c r="D6" s="37" t="n">
        <v>40000</v>
      </c>
      <c r="E6" s="27" t="s">
        <v>51</v>
      </c>
      <c r="F6" s="37" t="n">
        <v>38500</v>
      </c>
      <c r="G6" s="37" t="n">
        <f aca="false">D6-F6</f>
        <v>1500</v>
      </c>
      <c r="H6" s="28" t="n">
        <f aca="false">IFERROR(F6/D6,0)</f>
        <v>0.9625</v>
      </c>
      <c r="I6" s="39" t="s">
        <v>52</v>
      </c>
      <c r="J6" s="27"/>
      <c r="L6" s="36" t="s">
        <v>50</v>
      </c>
      <c r="M6" s="0" t="n">
        <v>40000</v>
      </c>
      <c r="N6" s="0" t="n">
        <v>38500</v>
      </c>
    </row>
    <row r="7" customFormat="false" ht="15" hidden="false" customHeight="false" outlineLevel="0" collapsed="false">
      <c r="A7" s="24" t="n">
        <v>4</v>
      </c>
      <c r="B7" s="24" t="s">
        <v>44</v>
      </c>
      <c r="C7" s="24" t="s">
        <v>53</v>
      </c>
      <c r="D7" s="38" t="n">
        <v>30000</v>
      </c>
      <c r="E7" s="24" t="s">
        <v>54</v>
      </c>
      <c r="F7" s="38" t="n">
        <v>18000</v>
      </c>
      <c r="G7" s="38" t="n">
        <f aca="false">D7-F7</f>
        <v>12000</v>
      </c>
      <c r="H7" s="25" t="n">
        <f aca="false">IFERROR(F7/D7,0)</f>
        <v>0.6</v>
      </c>
      <c r="I7" s="40" t="s">
        <v>55</v>
      </c>
      <c r="J7" s="24"/>
      <c r="L7" s="36" t="s">
        <v>53</v>
      </c>
      <c r="M7" s="0" t="n">
        <v>30000</v>
      </c>
      <c r="N7" s="0" t="n">
        <v>18000</v>
      </c>
    </row>
    <row r="8" customFormat="false" ht="15" hidden="false" customHeight="false" outlineLevel="0" collapsed="false">
      <c r="A8" s="27" t="n">
        <v>5</v>
      </c>
      <c r="B8" s="27" t="s">
        <v>44</v>
      </c>
      <c r="C8" s="27" t="s">
        <v>56</v>
      </c>
      <c r="D8" s="37" t="n">
        <v>50000</v>
      </c>
      <c r="E8" s="27" t="s">
        <v>57</v>
      </c>
      <c r="F8" s="37" t="n">
        <v>42000</v>
      </c>
      <c r="G8" s="37" t="n">
        <f aca="false">D8-F8</f>
        <v>8000</v>
      </c>
      <c r="H8" s="28" t="n">
        <f aca="false">IFERROR(F8/D8,0)</f>
        <v>0.84</v>
      </c>
      <c r="I8" s="29" t="s">
        <v>47</v>
      </c>
      <c r="J8" s="27"/>
      <c r="L8" s="36" t="s">
        <v>56</v>
      </c>
      <c r="M8" s="0" t="n">
        <v>50000</v>
      </c>
      <c r="N8" s="0" t="n">
        <v>42000</v>
      </c>
    </row>
    <row r="9" customFormat="false" ht="15" hidden="false" customHeight="false" outlineLevel="0" collapsed="false">
      <c r="A9" s="24" t="n">
        <v>6</v>
      </c>
      <c r="B9" s="24" t="s">
        <v>44</v>
      </c>
      <c r="C9" s="24" t="s">
        <v>58</v>
      </c>
      <c r="D9" s="38" t="n">
        <v>20000</v>
      </c>
      <c r="E9" s="24" t="s">
        <v>59</v>
      </c>
      <c r="F9" s="38" t="n">
        <v>8500</v>
      </c>
      <c r="G9" s="38" t="n">
        <f aca="false">D9-F9</f>
        <v>11500</v>
      </c>
      <c r="H9" s="25" t="n">
        <f aca="false">IFERROR(F9/D9,0)</f>
        <v>0.425</v>
      </c>
      <c r="I9" s="40" t="s">
        <v>55</v>
      </c>
      <c r="J9" s="24"/>
      <c r="L9" s="36" t="s">
        <v>58</v>
      </c>
      <c r="M9" s="0" t="n">
        <v>20000</v>
      </c>
      <c r="N9" s="0" t="n">
        <v>8500</v>
      </c>
    </row>
    <row r="10" customFormat="false" ht="23.85" hidden="false" customHeight="false" outlineLevel="0" collapsed="false">
      <c r="A10" s="35" t="s">
        <v>60</v>
      </c>
      <c r="B10" s="35"/>
      <c r="C10" s="35"/>
      <c r="D10" s="41" t="n">
        <f aca="false">SUM(D4:D9)</f>
        <v>370000</v>
      </c>
      <c r="E10" s="35"/>
      <c r="F10" s="41" t="n">
        <f aca="false">SUM(F4:F9)</f>
        <v>284000</v>
      </c>
      <c r="G10" s="41" t="n">
        <f aca="false">D10-F10</f>
        <v>86000</v>
      </c>
      <c r="H10" s="42" t="n">
        <f aca="false">IFERROR(F10/D10,0)</f>
        <v>0.767567567567568</v>
      </c>
      <c r="I10" s="35"/>
      <c r="J10" s="35"/>
    </row>
    <row r="12" customFormat="false" ht="15" hidden="false" customHeight="false" outlineLevel="0" collapsed="false">
      <c r="L12" s="36" t="s">
        <v>20</v>
      </c>
      <c r="M12" s="36" t="s">
        <v>61</v>
      </c>
    </row>
    <row r="13" customFormat="false" ht="15" hidden="false" customHeight="false" outlineLevel="0" collapsed="false">
      <c r="L13" s="36" t="s">
        <v>47</v>
      </c>
      <c r="M13" s="36" t="n">
        <f aca="false">COUNTIF(I4:I9,L13)</f>
        <v>3</v>
      </c>
    </row>
    <row r="14" customFormat="false" ht="15" hidden="false" customHeight="false" outlineLevel="0" collapsed="false">
      <c r="L14" s="36" t="s">
        <v>55</v>
      </c>
      <c r="M14" s="36" t="n">
        <f aca="false">COUNTIF(I4:I9,L14)</f>
        <v>2</v>
      </c>
    </row>
    <row r="15" customFormat="false" ht="15" hidden="false" customHeight="false" outlineLevel="0" collapsed="false">
      <c r="L15" s="36" t="s">
        <v>52</v>
      </c>
      <c r="M15" s="36" t="n">
        <f aca="false">COUNTIF(I4:I9,L15)</f>
        <v>1</v>
      </c>
    </row>
  </sheetData>
  <mergeCells count="1">
    <mergeCell ref="A1:K1"/>
  </mergeCells>
  <conditionalFormatting sqref="H4:H9">
    <cfRule type="colorScale" priority="2">
      <colorScale>
        <cfvo type="num" val="0"/>
        <cfvo type="num" val="0.7"/>
        <cfvo type="num" val="1"/>
        <color rgb="FF63BE7B"/>
        <color rgb="FFFFEB84"/>
        <color rgb="FFF8696B"/>
      </colorScale>
    </cfRule>
  </conditionalFormatting>
  <dataValidations count="2">
    <dataValidation allowBlank="true" errorStyle="stop" operator="between" showDropDown="false" showErrorMessage="false" showInputMessage="false" sqref="C4:C200" type="list">
      <formula1>"Venue &amp; Logistics,Food &amp; Catering,Decoration,Marketing &amp; Promo,Prizes &amp; Awards,Miscellaneous"</formula1>
      <formula2>0</formula2>
    </dataValidation>
    <dataValidation allowBlank="true" errorStyle="stop" operator="between" showDropDown="false" showErrorMessage="false" showInputMessage="false" sqref="I4:I200" type="list">
      <formula1>"Paid,Pending,Partial,Cancelled"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940A"/>
    <pageSetUpPr fitToPage="false"/>
  </sheetPr>
  <dimension ref="A1:Q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9" min="9" style="0" width="9"/>
    <col collapsed="false" customWidth="true" hidden="false" outlineLevel="0" max="10" min="10" style="0" width="22"/>
    <col collapsed="false" customWidth="true" hidden="false" outlineLevel="0" max="11" min="11" style="0" width="20"/>
    <col collapsed="false" customWidth="true" hidden="false" outlineLevel="0" max="13" min="13" style="0" width="18"/>
    <col collapsed="false" customWidth="true" hidden="false" outlineLevel="0" max="14" min="14" style="0" width="10"/>
    <col collapsed="false" customWidth="true" hidden="false" outlineLevel="0" max="16" min="16" style="0" width="13"/>
    <col collapsed="false" customWidth="true" hidden="false" outlineLevel="0" max="17" min="17" style="0" width="10"/>
  </cols>
  <sheetData>
    <row r="1" customFormat="false" ht="36" hidden="false" customHeight="true" outlineLevel="0" collapsed="false">
      <c r="A1" s="43" t="s">
        <v>62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customFormat="false" ht="15" hidden="false" customHeight="false" outlineLevel="0" collapsed="false">
      <c r="H2" s="0" t="n">
        <f aca="false">COUNTIF(D4:D50,"Assigned")</f>
        <v>8</v>
      </c>
    </row>
    <row r="3" customFormat="false" ht="15" hidden="false" customHeight="false" outlineLevel="0" collapsed="false">
      <c r="A3" s="44" t="s">
        <v>63</v>
      </c>
      <c r="B3" s="44" t="s">
        <v>64</v>
      </c>
      <c r="C3" s="44" t="s">
        <v>65</v>
      </c>
      <c r="D3" s="44" t="s">
        <v>20</v>
      </c>
      <c r="E3" s="44" t="s">
        <v>15</v>
      </c>
      <c r="F3" s="44" t="s">
        <v>66</v>
      </c>
      <c r="G3" s="44" t="s">
        <v>67</v>
      </c>
      <c r="H3" s="44" t="s">
        <v>68</v>
      </c>
      <c r="I3" s="44" t="s">
        <v>69</v>
      </c>
      <c r="J3" s="44" t="s">
        <v>34</v>
      </c>
      <c r="K3" s="44" t="s">
        <v>41</v>
      </c>
      <c r="M3" s="44" t="s">
        <v>15</v>
      </c>
      <c r="N3" s="44" t="s">
        <v>61</v>
      </c>
      <c r="P3" s="44" t="s">
        <v>20</v>
      </c>
      <c r="Q3" s="44" t="s">
        <v>61</v>
      </c>
    </row>
    <row r="4" customFormat="false" ht="15" hidden="false" customHeight="false" outlineLevel="0" collapsed="false">
      <c r="A4" s="27" t="s">
        <v>70</v>
      </c>
      <c r="B4" s="27" t="s">
        <v>71</v>
      </c>
      <c r="C4" s="27" t="s">
        <v>72</v>
      </c>
      <c r="D4" s="27" t="s">
        <v>17</v>
      </c>
      <c r="E4" s="27" t="s">
        <v>21</v>
      </c>
      <c r="F4" s="27" t="s">
        <v>73</v>
      </c>
      <c r="G4" s="27" t="s">
        <v>74</v>
      </c>
      <c r="H4" s="27" t="s">
        <v>75</v>
      </c>
      <c r="I4" s="45" t="n">
        <f aca="false">IFERROR((TIMEVALUE(H4)-TIMEVALUE(G4))*24,0)</f>
        <v>6</v>
      </c>
      <c r="J4" s="27" t="s">
        <v>44</v>
      </c>
      <c r="K4" s="27"/>
      <c r="L4" s="27"/>
      <c r="M4" s="27" t="s">
        <v>21</v>
      </c>
      <c r="N4" s="27" t="n">
        <f aca="false">COUNTIF(E4:E13,M4)</f>
        <v>1</v>
      </c>
      <c r="P4" s="36" t="s">
        <v>17</v>
      </c>
      <c r="Q4" s="36" t="n">
        <f aca="false">COUNTIF(D4:D13,P4)</f>
        <v>8</v>
      </c>
    </row>
    <row r="5" customFormat="false" ht="15" hidden="false" customHeight="false" outlineLevel="0" collapsed="false">
      <c r="A5" s="24" t="s">
        <v>76</v>
      </c>
      <c r="B5" s="24" t="s">
        <v>77</v>
      </c>
      <c r="C5" s="24" t="s">
        <v>78</v>
      </c>
      <c r="D5" s="24" t="s">
        <v>17</v>
      </c>
      <c r="E5" s="24" t="s">
        <v>50</v>
      </c>
      <c r="F5" s="24" t="s">
        <v>79</v>
      </c>
      <c r="G5" s="24" t="s">
        <v>80</v>
      </c>
      <c r="H5" s="24" t="s">
        <v>81</v>
      </c>
      <c r="I5" s="46" t="n">
        <f aca="false">IFERROR((TIMEVALUE(H5)-TIMEVALUE(G5))*24,0)</f>
        <v>6</v>
      </c>
      <c r="J5" s="24" t="s">
        <v>44</v>
      </c>
      <c r="K5" s="24"/>
      <c r="L5" s="24"/>
      <c r="M5" s="24" t="s">
        <v>50</v>
      </c>
      <c r="N5" s="24" t="n">
        <f aca="false">COUNTIF(E4:E13,M5)</f>
        <v>1</v>
      </c>
      <c r="P5" s="36" t="s">
        <v>82</v>
      </c>
      <c r="Q5" s="36" t="n">
        <f aca="false">COUNTIF(D4:D13,P5)</f>
        <v>1</v>
      </c>
    </row>
    <row r="6" customFormat="false" ht="15" hidden="false" customHeight="false" outlineLevel="0" collapsed="false">
      <c r="A6" s="27" t="s">
        <v>83</v>
      </c>
      <c r="B6" s="27" t="s">
        <v>84</v>
      </c>
      <c r="C6" s="27" t="s">
        <v>85</v>
      </c>
      <c r="D6" s="27" t="s">
        <v>17</v>
      </c>
      <c r="E6" s="27" t="s">
        <v>23</v>
      </c>
      <c r="F6" s="27" t="s">
        <v>73</v>
      </c>
      <c r="G6" s="27" t="s">
        <v>86</v>
      </c>
      <c r="H6" s="27" t="s">
        <v>87</v>
      </c>
      <c r="I6" s="45" t="n">
        <f aca="false">IFERROR((TIMEVALUE(H6)-TIMEVALUE(G6))*24,0)</f>
        <v>6</v>
      </c>
      <c r="J6" s="27" t="s">
        <v>44</v>
      </c>
      <c r="K6" s="27"/>
      <c r="L6" s="27"/>
      <c r="M6" s="27" t="s">
        <v>23</v>
      </c>
      <c r="N6" s="27" t="n">
        <f aca="false">COUNTIF(E4:E13,M6)</f>
        <v>2</v>
      </c>
      <c r="P6" s="36" t="s">
        <v>88</v>
      </c>
      <c r="Q6" s="36" t="n">
        <f aca="false">COUNTIF(D4:D13,P6)</f>
        <v>1</v>
      </c>
    </row>
    <row r="7" customFormat="false" ht="15" hidden="false" customHeight="false" outlineLevel="0" collapsed="false">
      <c r="A7" s="24" t="s">
        <v>89</v>
      </c>
      <c r="B7" s="24" t="s">
        <v>90</v>
      </c>
      <c r="C7" s="24" t="s">
        <v>91</v>
      </c>
      <c r="D7" s="24" t="s">
        <v>82</v>
      </c>
      <c r="E7" s="24" t="s">
        <v>26</v>
      </c>
      <c r="F7" s="24" t="s">
        <v>92</v>
      </c>
      <c r="G7" s="24" t="s">
        <v>93</v>
      </c>
      <c r="H7" s="24" t="s">
        <v>94</v>
      </c>
      <c r="I7" s="46" t="n">
        <f aca="false">IFERROR((TIMEVALUE(H7)-TIMEVALUE(G7))*24,0)</f>
        <v>4</v>
      </c>
      <c r="J7" s="24" t="s">
        <v>44</v>
      </c>
      <c r="K7" s="24"/>
      <c r="L7" s="24"/>
      <c r="M7" s="24" t="s">
        <v>26</v>
      </c>
      <c r="N7" s="24" t="n">
        <f aca="false">COUNTIF(E4:E13,M7)</f>
        <v>2</v>
      </c>
    </row>
    <row r="8" customFormat="false" ht="15" hidden="false" customHeight="false" outlineLevel="0" collapsed="false">
      <c r="A8" s="27" t="s">
        <v>95</v>
      </c>
      <c r="B8" s="27" t="s">
        <v>96</v>
      </c>
      <c r="C8" s="27" t="s">
        <v>72</v>
      </c>
      <c r="D8" s="27" t="s">
        <v>17</v>
      </c>
      <c r="E8" s="27" t="s">
        <v>25</v>
      </c>
      <c r="F8" s="27" t="s">
        <v>73</v>
      </c>
      <c r="G8" s="27" t="s">
        <v>74</v>
      </c>
      <c r="H8" s="27" t="s">
        <v>97</v>
      </c>
      <c r="I8" s="45" t="n">
        <f aca="false">IFERROR((TIMEVALUE(H8)-TIMEVALUE(G8))*24,0)</f>
        <v>8</v>
      </c>
      <c r="J8" s="27" t="s">
        <v>44</v>
      </c>
      <c r="K8" s="27"/>
      <c r="L8" s="27"/>
      <c r="M8" s="27" t="s">
        <v>25</v>
      </c>
      <c r="N8" s="27" t="n">
        <f aca="false">COUNTIF(E4:E13,M8)</f>
        <v>1</v>
      </c>
    </row>
    <row r="9" customFormat="false" ht="15" hidden="false" customHeight="false" outlineLevel="0" collapsed="false">
      <c r="A9" s="24" t="s">
        <v>98</v>
      </c>
      <c r="B9" s="24" t="s">
        <v>99</v>
      </c>
      <c r="C9" s="24" t="s">
        <v>100</v>
      </c>
      <c r="D9" s="24" t="s">
        <v>17</v>
      </c>
      <c r="E9" s="24" t="s">
        <v>28</v>
      </c>
      <c r="F9" s="24" t="s">
        <v>79</v>
      </c>
      <c r="G9" s="24" t="s">
        <v>101</v>
      </c>
      <c r="H9" s="24" t="s">
        <v>102</v>
      </c>
      <c r="I9" s="46" t="n">
        <f aca="false">IFERROR((TIMEVALUE(H9)-TIMEVALUE(G9))*24,0)</f>
        <v>8</v>
      </c>
      <c r="J9" s="24" t="s">
        <v>44</v>
      </c>
      <c r="K9" s="24"/>
      <c r="L9" s="24"/>
      <c r="M9" s="24" t="s">
        <v>28</v>
      </c>
      <c r="N9" s="24" t="n">
        <f aca="false">COUNTIF(E4:E13,M9)</f>
        <v>2</v>
      </c>
    </row>
    <row r="10" customFormat="false" ht="15" hidden="false" customHeight="false" outlineLevel="0" collapsed="false">
      <c r="A10" s="27" t="s">
        <v>103</v>
      </c>
      <c r="B10" s="27" t="s">
        <v>104</v>
      </c>
      <c r="C10" s="27" t="s">
        <v>105</v>
      </c>
      <c r="D10" s="27" t="s">
        <v>17</v>
      </c>
      <c r="E10" s="27" t="s">
        <v>27</v>
      </c>
      <c r="F10" s="27" t="s">
        <v>106</v>
      </c>
      <c r="G10" s="27" t="s">
        <v>107</v>
      </c>
      <c r="H10" s="27" t="s">
        <v>108</v>
      </c>
      <c r="I10" s="45" t="n">
        <f aca="false">IFERROR((TIMEVALUE(H10)-TIMEVALUE(G10))*24,0)</f>
        <v>14</v>
      </c>
      <c r="J10" s="27" t="s">
        <v>44</v>
      </c>
      <c r="K10" s="27"/>
      <c r="L10" s="27"/>
      <c r="M10" s="27" t="s">
        <v>27</v>
      </c>
      <c r="N10" s="27" t="n">
        <f aca="false">COUNTIF(E4:E13,M10)</f>
        <v>1</v>
      </c>
    </row>
    <row r="11" customFormat="false" ht="15" hidden="false" customHeight="false" outlineLevel="0" collapsed="false">
      <c r="A11" s="24" t="s">
        <v>109</v>
      </c>
      <c r="B11" s="24" t="s">
        <v>110</v>
      </c>
      <c r="C11" s="24" t="s">
        <v>111</v>
      </c>
      <c r="D11" s="31" t="s">
        <v>17</v>
      </c>
      <c r="E11" s="24" t="s">
        <v>23</v>
      </c>
      <c r="F11" s="24" t="s">
        <v>73</v>
      </c>
      <c r="G11" s="24" t="s">
        <v>86</v>
      </c>
      <c r="H11" s="24" t="s">
        <v>87</v>
      </c>
      <c r="I11" s="46" t="n">
        <f aca="false">IFERROR((TIMEVALUE(H11)-TIMEVALUE(G11))*24,0)</f>
        <v>6</v>
      </c>
      <c r="J11" s="24" t="s">
        <v>44</v>
      </c>
      <c r="K11" s="24"/>
    </row>
    <row r="12" customFormat="false" ht="15" hidden="false" customHeight="false" outlineLevel="0" collapsed="false">
      <c r="A12" s="27" t="s">
        <v>112</v>
      </c>
      <c r="B12" s="27" t="s">
        <v>113</v>
      </c>
      <c r="C12" s="27" t="s">
        <v>72</v>
      </c>
      <c r="D12" s="32" t="s">
        <v>88</v>
      </c>
      <c r="E12" s="27" t="s">
        <v>26</v>
      </c>
      <c r="F12" s="27" t="s">
        <v>73</v>
      </c>
      <c r="G12" s="27" t="s">
        <v>74</v>
      </c>
      <c r="H12" s="27" t="s">
        <v>75</v>
      </c>
      <c r="I12" s="45" t="n">
        <f aca="false">IFERROR((TIMEVALUE(H12)-TIMEVALUE(G12))*24,0)</f>
        <v>6</v>
      </c>
      <c r="J12" s="27" t="s">
        <v>44</v>
      </c>
      <c r="K12" s="27"/>
    </row>
    <row r="13" customFormat="false" ht="15" hidden="false" customHeight="false" outlineLevel="0" collapsed="false">
      <c r="A13" s="24" t="s">
        <v>114</v>
      </c>
      <c r="B13" s="24" t="s">
        <v>115</v>
      </c>
      <c r="C13" s="24" t="s">
        <v>85</v>
      </c>
      <c r="D13" s="31" t="s">
        <v>17</v>
      </c>
      <c r="E13" s="24" t="s">
        <v>28</v>
      </c>
      <c r="F13" s="24" t="s">
        <v>92</v>
      </c>
      <c r="G13" s="24" t="s">
        <v>116</v>
      </c>
      <c r="H13" s="24" t="s">
        <v>94</v>
      </c>
      <c r="I13" s="46" t="n">
        <f aca="false">IFERROR((TIMEVALUE(H13)-TIMEVALUE(G13))*24,0)</f>
        <v>5</v>
      </c>
      <c r="J13" s="24" t="s">
        <v>44</v>
      </c>
      <c r="K13" s="24"/>
    </row>
  </sheetData>
  <mergeCells count="1">
    <mergeCell ref="A1:K1"/>
  </mergeCells>
  <dataValidations count="1">
    <dataValidation allowBlank="true" errorStyle="stop" operator="between" showDropDown="false" showErrorMessage="false" showInputMessage="false" sqref="D4:D200" type="list">
      <formula1>"Assigned,Standby,Absent,Completed"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7900"/>
    <pageSetUpPr fitToPage="false"/>
  </sheetPr>
  <dimension ref="A1:O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20"/>
    <col collapsed="false" customWidth="true" hidden="false" outlineLevel="0" max="14" min="14" style="0" width="16"/>
    <col collapsed="false" customWidth="true" hidden="false" outlineLevel="0" max="15" min="15" style="0" width="10"/>
  </cols>
  <sheetData>
    <row r="1" customFormat="false" ht="36" hidden="false" customHeight="true" outlineLevel="0" collapsed="false">
      <c r="A1" s="47" t="s">
        <v>117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customFormat="false" ht="15" hidden="false" customHeight="false" outlineLevel="0" collapsed="false">
      <c r="I2" s="0" t="n">
        <f aca="false">IFERROR(COUNTIF(G4:G100,"Completed")/COUNTA(G4:G100),0)</f>
        <v>0.3</v>
      </c>
    </row>
    <row r="3" customFormat="false" ht="15" hidden="false" customHeight="false" outlineLevel="0" collapsed="false">
      <c r="A3" s="48" t="s">
        <v>63</v>
      </c>
      <c r="B3" s="48" t="s">
        <v>118</v>
      </c>
      <c r="C3" s="48" t="s">
        <v>119</v>
      </c>
      <c r="D3" s="48" t="s">
        <v>35</v>
      </c>
      <c r="E3" s="48" t="s">
        <v>120</v>
      </c>
      <c r="F3" s="48" t="s">
        <v>121</v>
      </c>
      <c r="G3" s="48" t="s">
        <v>20</v>
      </c>
      <c r="H3" s="48" t="s">
        <v>122</v>
      </c>
      <c r="I3" s="48" t="s">
        <v>123</v>
      </c>
      <c r="J3" s="48" t="s">
        <v>124</v>
      </c>
      <c r="K3" s="48" t="s">
        <v>125</v>
      </c>
      <c r="L3" s="48" t="s">
        <v>41</v>
      </c>
      <c r="N3" s="36" t="s">
        <v>20</v>
      </c>
      <c r="O3" s="36" t="s">
        <v>61</v>
      </c>
    </row>
    <row r="4" customFormat="false" ht="15" hidden="false" customHeight="false" outlineLevel="0" collapsed="false">
      <c r="A4" s="27" t="s">
        <v>126</v>
      </c>
      <c r="B4" s="27" t="s">
        <v>127</v>
      </c>
      <c r="C4" s="27" t="s">
        <v>71</v>
      </c>
      <c r="D4" s="27" t="s">
        <v>128</v>
      </c>
      <c r="E4" s="27" t="s">
        <v>129</v>
      </c>
      <c r="F4" s="27" t="s">
        <v>130</v>
      </c>
      <c r="G4" s="29" t="s">
        <v>131</v>
      </c>
      <c r="H4" s="32" t="s">
        <v>132</v>
      </c>
      <c r="I4" s="28" t="n">
        <v>1</v>
      </c>
      <c r="J4" s="27" t="s">
        <v>133</v>
      </c>
      <c r="K4" s="27" t="s">
        <v>134</v>
      </c>
      <c r="L4" s="27"/>
      <c r="N4" s="36" t="s">
        <v>135</v>
      </c>
      <c r="O4" s="36" t="n">
        <f aca="false">COUNTIF(G4:G100,N4)</f>
        <v>3</v>
      </c>
    </row>
    <row r="5" customFormat="false" ht="15" hidden="false" customHeight="false" outlineLevel="0" collapsed="false">
      <c r="A5" s="24" t="s">
        <v>136</v>
      </c>
      <c r="B5" s="24" t="s">
        <v>137</v>
      </c>
      <c r="C5" s="24" t="s">
        <v>77</v>
      </c>
      <c r="D5" s="24" t="s">
        <v>138</v>
      </c>
      <c r="E5" s="24" t="s">
        <v>139</v>
      </c>
      <c r="F5" s="24" t="s">
        <v>140</v>
      </c>
      <c r="G5" s="31" t="s">
        <v>131</v>
      </c>
      <c r="H5" s="40" t="s">
        <v>132</v>
      </c>
      <c r="I5" s="25" t="n">
        <v>1</v>
      </c>
      <c r="J5" s="24" t="s">
        <v>126</v>
      </c>
      <c r="K5" s="24" t="s">
        <v>141</v>
      </c>
      <c r="L5" s="24"/>
      <c r="N5" s="36" t="s">
        <v>142</v>
      </c>
      <c r="O5" s="36" t="n">
        <f aca="false">COUNTIF(G4:G100,N5)</f>
        <v>3</v>
      </c>
    </row>
    <row r="6" customFormat="false" ht="15" hidden="false" customHeight="false" outlineLevel="0" collapsed="false">
      <c r="A6" s="27" t="s">
        <v>143</v>
      </c>
      <c r="B6" s="27" t="s">
        <v>144</v>
      </c>
      <c r="C6" s="27" t="s">
        <v>84</v>
      </c>
      <c r="D6" s="27" t="s">
        <v>23</v>
      </c>
      <c r="E6" s="27" t="s">
        <v>145</v>
      </c>
      <c r="F6" s="27" t="s">
        <v>146</v>
      </c>
      <c r="G6" s="49" t="s">
        <v>142</v>
      </c>
      <c r="H6" s="32" t="s">
        <v>132</v>
      </c>
      <c r="I6" s="28" t="n">
        <v>0.7</v>
      </c>
      <c r="J6" s="27" t="s">
        <v>133</v>
      </c>
      <c r="K6" s="27" t="s">
        <v>147</v>
      </c>
      <c r="L6" s="27"/>
      <c r="N6" s="36" t="s">
        <v>131</v>
      </c>
      <c r="O6" s="36" t="n">
        <f aca="false">COUNTIF(G4:G100,N6)</f>
        <v>3</v>
      </c>
    </row>
    <row r="7" customFormat="false" ht="15" hidden="false" customHeight="false" outlineLevel="0" collapsed="false">
      <c r="A7" s="24" t="s">
        <v>148</v>
      </c>
      <c r="B7" s="24" t="s">
        <v>149</v>
      </c>
      <c r="C7" s="24" t="s">
        <v>113</v>
      </c>
      <c r="D7" s="24" t="s">
        <v>150</v>
      </c>
      <c r="E7" s="24" t="s">
        <v>130</v>
      </c>
      <c r="F7" s="24" t="s">
        <v>151</v>
      </c>
      <c r="G7" s="40" t="s">
        <v>152</v>
      </c>
      <c r="H7" s="40" t="s">
        <v>132</v>
      </c>
      <c r="I7" s="25" t="n">
        <v>0.4</v>
      </c>
      <c r="J7" s="24" t="s">
        <v>126</v>
      </c>
      <c r="K7" s="24" t="s">
        <v>153</v>
      </c>
      <c r="L7" s="24"/>
      <c r="N7" s="36" t="s">
        <v>152</v>
      </c>
      <c r="O7" s="36" t="n">
        <f aca="false">COUNTIF(G4:G100,N7)</f>
        <v>1</v>
      </c>
    </row>
    <row r="8" customFormat="false" ht="15" hidden="false" customHeight="false" outlineLevel="0" collapsed="false">
      <c r="A8" s="27" t="s">
        <v>154</v>
      </c>
      <c r="B8" s="27" t="s">
        <v>155</v>
      </c>
      <c r="C8" s="27" t="s">
        <v>99</v>
      </c>
      <c r="D8" s="27" t="s">
        <v>156</v>
      </c>
      <c r="E8" s="27" t="s">
        <v>130</v>
      </c>
      <c r="F8" s="27" t="s">
        <v>157</v>
      </c>
      <c r="G8" s="49" t="s">
        <v>142</v>
      </c>
      <c r="H8" s="39" t="s">
        <v>158</v>
      </c>
      <c r="I8" s="28" t="n">
        <v>0.6</v>
      </c>
      <c r="J8" s="27" t="s">
        <v>133</v>
      </c>
      <c r="K8" s="27" t="s">
        <v>159</v>
      </c>
      <c r="L8" s="27"/>
      <c r="N8" s="36" t="s">
        <v>160</v>
      </c>
      <c r="O8" s="36" t="n">
        <f aca="false">COUNTIF(G4:G100,N8)</f>
        <v>0</v>
      </c>
    </row>
    <row r="9" customFormat="false" ht="15" hidden="false" customHeight="false" outlineLevel="0" collapsed="false">
      <c r="A9" s="24" t="s">
        <v>161</v>
      </c>
      <c r="B9" s="24" t="s">
        <v>162</v>
      </c>
      <c r="C9" s="24" t="s">
        <v>104</v>
      </c>
      <c r="D9" s="24" t="s">
        <v>163</v>
      </c>
      <c r="E9" s="24" t="s">
        <v>140</v>
      </c>
      <c r="F9" s="24" t="s">
        <v>164</v>
      </c>
      <c r="G9" s="31" t="s">
        <v>131</v>
      </c>
      <c r="H9" s="50" t="s">
        <v>158</v>
      </c>
      <c r="I9" s="25" t="n">
        <v>1</v>
      </c>
      <c r="J9" s="24" t="s">
        <v>133</v>
      </c>
      <c r="K9" s="24" t="s">
        <v>165</v>
      </c>
      <c r="L9" s="24"/>
    </row>
    <row r="10" customFormat="false" ht="15" hidden="false" customHeight="false" outlineLevel="0" collapsed="false">
      <c r="A10" s="27" t="s">
        <v>166</v>
      </c>
      <c r="B10" s="27" t="s">
        <v>167</v>
      </c>
      <c r="C10" s="27" t="s">
        <v>110</v>
      </c>
      <c r="D10" s="27" t="s">
        <v>138</v>
      </c>
      <c r="E10" s="27" t="s">
        <v>151</v>
      </c>
      <c r="F10" s="27" t="s">
        <v>146</v>
      </c>
      <c r="G10" s="49" t="s">
        <v>142</v>
      </c>
      <c r="H10" s="39" t="s">
        <v>158</v>
      </c>
      <c r="I10" s="28" t="n">
        <v>0.5</v>
      </c>
      <c r="J10" s="27" t="s">
        <v>136</v>
      </c>
      <c r="K10" s="27" t="s">
        <v>168</v>
      </c>
      <c r="L10" s="27"/>
      <c r="N10" s="36" t="s">
        <v>122</v>
      </c>
      <c r="O10" s="36" t="s">
        <v>61</v>
      </c>
    </row>
    <row r="11" customFormat="false" ht="15" hidden="false" customHeight="false" outlineLevel="0" collapsed="false">
      <c r="A11" s="24" t="s">
        <v>169</v>
      </c>
      <c r="B11" s="24" t="s">
        <v>170</v>
      </c>
      <c r="C11" s="24" t="s">
        <v>96</v>
      </c>
      <c r="D11" s="24" t="s">
        <v>25</v>
      </c>
      <c r="E11" s="24" t="s">
        <v>157</v>
      </c>
      <c r="F11" s="24" t="s">
        <v>171</v>
      </c>
      <c r="G11" s="51" t="s">
        <v>135</v>
      </c>
      <c r="H11" s="40" t="s">
        <v>132</v>
      </c>
      <c r="I11" s="25" t="n">
        <v>0</v>
      </c>
      <c r="J11" s="24" t="s">
        <v>133</v>
      </c>
      <c r="K11" s="24" t="s">
        <v>172</v>
      </c>
      <c r="L11" s="24"/>
      <c r="N11" s="36" t="s">
        <v>132</v>
      </c>
      <c r="O11" s="36" t="n">
        <f aca="false">COUNTIF(H4:H100,N11)</f>
        <v>6</v>
      </c>
    </row>
    <row r="12" customFormat="false" ht="15" hidden="false" customHeight="false" outlineLevel="0" collapsed="false">
      <c r="A12" s="27" t="s">
        <v>173</v>
      </c>
      <c r="B12" s="27" t="s">
        <v>174</v>
      </c>
      <c r="C12" s="27" t="s">
        <v>71</v>
      </c>
      <c r="D12" s="27" t="s">
        <v>175</v>
      </c>
      <c r="E12" s="27" t="s">
        <v>146</v>
      </c>
      <c r="F12" s="27" t="s">
        <v>146</v>
      </c>
      <c r="G12" s="52" t="s">
        <v>135</v>
      </c>
      <c r="H12" s="32" t="s">
        <v>132</v>
      </c>
      <c r="I12" s="28" t="n">
        <v>0</v>
      </c>
      <c r="J12" s="27" t="s">
        <v>169</v>
      </c>
      <c r="K12" s="27"/>
      <c r="L12" s="27"/>
      <c r="N12" s="36" t="s">
        <v>158</v>
      </c>
      <c r="O12" s="36" t="n">
        <f aca="false">COUNTIF(H4:H100,N12)</f>
        <v>3</v>
      </c>
    </row>
    <row r="13" customFormat="false" ht="15" hidden="false" customHeight="false" outlineLevel="0" collapsed="false">
      <c r="A13" s="24" t="s">
        <v>176</v>
      </c>
      <c r="B13" s="24" t="s">
        <v>177</v>
      </c>
      <c r="C13" s="24" t="s">
        <v>90</v>
      </c>
      <c r="D13" s="24" t="s">
        <v>178</v>
      </c>
      <c r="E13" s="24" t="s">
        <v>179</v>
      </c>
      <c r="F13" s="24" t="s">
        <v>180</v>
      </c>
      <c r="G13" s="51" t="s">
        <v>135</v>
      </c>
      <c r="H13" s="31" t="s">
        <v>181</v>
      </c>
      <c r="I13" s="25" t="n">
        <v>0</v>
      </c>
      <c r="J13" s="24" t="s">
        <v>173</v>
      </c>
      <c r="K13" s="24"/>
      <c r="L13" s="24"/>
      <c r="N13" s="36" t="s">
        <v>181</v>
      </c>
      <c r="O13" s="36" t="n">
        <f aca="false">COUNTIF(H4:H100,N13)</f>
        <v>1</v>
      </c>
    </row>
  </sheetData>
  <mergeCells count="1">
    <mergeCell ref="A1:L1"/>
  </mergeCells>
  <conditionalFormatting sqref="I4:I13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dataValidations count="2">
    <dataValidation allowBlank="true" errorStyle="stop" operator="between" showDropDown="false" showErrorMessage="false" showInputMessage="false" sqref="G4:G200" type="list">
      <formula1>"Not Started,In Progress,Completed,Overdue,On Hold"</formula1>
      <formula2>0</formula2>
    </dataValidation>
    <dataValidation allowBlank="true" errorStyle="stop" operator="between" showDropDown="false" showErrorMessage="false" showInputMessage="false" sqref="H4:H200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8449"/>
    <pageSetUpPr fitToPage="false"/>
  </sheetPr>
  <dimension ref="A1:N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5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0" min="10" style="0" width="13"/>
    <col collapsed="false" customWidth="true" hidden="false" outlineLevel="0" max="12" min="12" style="0" width="16"/>
    <col collapsed="false" customWidth="true" hidden="false" outlineLevel="0" max="14" min="13" style="0" width="14"/>
  </cols>
  <sheetData>
    <row r="1" customFormat="false" ht="36" hidden="false" customHeight="true" outlineLevel="0" collapsed="false">
      <c r="A1" s="43" t="s">
        <v>182</v>
      </c>
      <c r="B1" s="43"/>
      <c r="C1" s="43"/>
      <c r="D1" s="43"/>
      <c r="E1" s="43"/>
      <c r="F1" s="43"/>
      <c r="G1" s="43"/>
      <c r="H1" s="43"/>
      <c r="I1" s="43"/>
      <c r="J1" s="43"/>
    </row>
    <row r="3" customFormat="false" ht="15" hidden="false" customHeight="false" outlineLevel="0" collapsed="false">
      <c r="A3" s="44" t="s">
        <v>33</v>
      </c>
      <c r="B3" s="44" t="s">
        <v>183</v>
      </c>
      <c r="C3" s="44" t="s">
        <v>35</v>
      </c>
      <c r="D3" s="44" t="s">
        <v>184</v>
      </c>
      <c r="E3" s="44" t="s">
        <v>185</v>
      </c>
      <c r="F3" s="44" t="s">
        <v>186</v>
      </c>
      <c r="G3" s="44" t="s">
        <v>187</v>
      </c>
      <c r="H3" s="44" t="s">
        <v>188</v>
      </c>
      <c r="I3" s="44" t="s">
        <v>189</v>
      </c>
      <c r="J3" s="44" t="s">
        <v>20</v>
      </c>
      <c r="L3" s="36" t="s">
        <v>183</v>
      </c>
      <c r="M3" s="36" t="s">
        <v>184</v>
      </c>
      <c r="N3" s="36" t="s">
        <v>185</v>
      </c>
    </row>
    <row r="4" customFormat="false" ht="15" hidden="false" customHeight="false" outlineLevel="0" collapsed="false">
      <c r="A4" s="27" t="n">
        <v>1</v>
      </c>
      <c r="B4" s="27" t="s">
        <v>190</v>
      </c>
      <c r="C4" s="27" t="s">
        <v>191</v>
      </c>
      <c r="D4" s="27" t="n">
        <v>200</v>
      </c>
      <c r="E4" s="27" t="n">
        <v>180</v>
      </c>
      <c r="F4" s="27" t="n">
        <f aca="false">MAX(D4-E4,0)</f>
        <v>20</v>
      </c>
      <c r="G4" s="37" t="n">
        <v>150</v>
      </c>
      <c r="H4" s="37" t="n">
        <f aca="false">D4*G4</f>
        <v>30000</v>
      </c>
      <c r="I4" s="27" t="s">
        <v>192</v>
      </c>
      <c r="J4" s="39" t="s">
        <v>55</v>
      </c>
      <c r="L4" s="36" t="s">
        <v>190</v>
      </c>
      <c r="M4" s="0" t="n">
        <v>200</v>
      </c>
      <c r="N4" s="0" t="n">
        <v>180</v>
      </c>
    </row>
    <row r="5" customFormat="false" ht="15" hidden="false" customHeight="false" outlineLevel="0" collapsed="false">
      <c r="A5" s="24" t="n">
        <v>2</v>
      </c>
      <c r="B5" s="24" t="s">
        <v>193</v>
      </c>
      <c r="C5" s="24" t="s">
        <v>191</v>
      </c>
      <c r="D5" s="24" t="n">
        <v>30</v>
      </c>
      <c r="E5" s="24" t="n">
        <v>30</v>
      </c>
      <c r="F5" s="24" t="n">
        <f aca="false">MAX(D5-E5,0)</f>
        <v>0</v>
      </c>
      <c r="G5" s="38" t="n">
        <v>800</v>
      </c>
      <c r="H5" s="38" t="n">
        <f aca="false">D5*G5</f>
        <v>24000</v>
      </c>
      <c r="I5" s="24" t="s">
        <v>192</v>
      </c>
      <c r="J5" s="31" t="s">
        <v>194</v>
      </c>
      <c r="L5" s="36" t="s">
        <v>193</v>
      </c>
      <c r="M5" s="0" t="n">
        <v>30</v>
      </c>
      <c r="N5" s="0" t="n">
        <v>30</v>
      </c>
    </row>
    <row r="6" customFormat="false" ht="15" hidden="false" customHeight="false" outlineLevel="0" collapsed="false">
      <c r="A6" s="27" t="n">
        <v>3</v>
      </c>
      <c r="B6" s="27" t="s">
        <v>195</v>
      </c>
      <c r="C6" s="27" t="s">
        <v>196</v>
      </c>
      <c r="D6" s="27" t="n">
        <v>5</v>
      </c>
      <c r="E6" s="27" t="n">
        <v>4</v>
      </c>
      <c r="F6" s="27" t="n">
        <f aca="false">MAX(D6-E6,0)</f>
        <v>1</v>
      </c>
      <c r="G6" s="37" t="n">
        <v>2500</v>
      </c>
      <c r="H6" s="37" t="n">
        <f aca="false">D6*G6</f>
        <v>12500</v>
      </c>
      <c r="I6" s="27" t="s">
        <v>197</v>
      </c>
      <c r="J6" s="30" t="s">
        <v>52</v>
      </c>
      <c r="L6" s="36" t="s">
        <v>195</v>
      </c>
      <c r="M6" s="0" t="n">
        <v>5</v>
      </c>
      <c r="N6" s="0" t="n">
        <v>4</v>
      </c>
    </row>
    <row r="7" customFormat="false" ht="15" hidden="false" customHeight="false" outlineLevel="0" collapsed="false">
      <c r="A7" s="24" t="n">
        <v>4</v>
      </c>
      <c r="B7" s="24" t="s">
        <v>198</v>
      </c>
      <c r="C7" s="24" t="s">
        <v>196</v>
      </c>
      <c r="D7" s="24" t="n">
        <v>10</v>
      </c>
      <c r="E7" s="24" t="n">
        <v>8</v>
      </c>
      <c r="F7" s="24" t="n">
        <f aca="false">MAX(D7-E7,0)</f>
        <v>2</v>
      </c>
      <c r="G7" s="38" t="n">
        <v>500</v>
      </c>
      <c r="H7" s="38" t="n">
        <f aca="false">D7*G7</f>
        <v>5000</v>
      </c>
      <c r="I7" s="24" t="s">
        <v>199</v>
      </c>
      <c r="J7" s="26" t="s">
        <v>52</v>
      </c>
      <c r="L7" s="36" t="s">
        <v>198</v>
      </c>
      <c r="M7" s="0" t="n">
        <v>10</v>
      </c>
      <c r="N7" s="0" t="n">
        <v>8</v>
      </c>
    </row>
    <row r="8" customFormat="false" ht="15" hidden="false" customHeight="false" outlineLevel="0" collapsed="false">
      <c r="A8" s="27" t="n">
        <v>5</v>
      </c>
      <c r="B8" s="27" t="s">
        <v>200</v>
      </c>
      <c r="C8" s="27" t="s">
        <v>201</v>
      </c>
      <c r="D8" s="27" t="n">
        <v>25</v>
      </c>
      <c r="E8" s="27" t="n">
        <v>25</v>
      </c>
      <c r="F8" s="27" t="n">
        <f aca="false">MAX(D8-E8,0)</f>
        <v>0</v>
      </c>
      <c r="G8" s="37" t="n">
        <v>200</v>
      </c>
      <c r="H8" s="37" t="n">
        <f aca="false">D8*G8</f>
        <v>5000</v>
      </c>
      <c r="I8" s="27" t="s">
        <v>202</v>
      </c>
      <c r="J8" s="29" t="s">
        <v>194</v>
      </c>
      <c r="L8" s="36" t="s">
        <v>200</v>
      </c>
      <c r="M8" s="0" t="n">
        <v>25</v>
      </c>
      <c r="N8" s="0" t="n">
        <v>25</v>
      </c>
    </row>
    <row r="9" customFormat="false" ht="15" hidden="false" customHeight="false" outlineLevel="0" collapsed="false">
      <c r="A9" s="24" t="n">
        <v>6</v>
      </c>
      <c r="B9" s="24" t="s">
        <v>203</v>
      </c>
      <c r="C9" s="24" t="s">
        <v>50</v>
      </c>
      <c r="D9" s="24" t="n">
        <v>50</v>
      </c>
      <c r="E9" s="24" t="n">
        <v>40</v>
      </c>
      <c r="F9" s="24" t="n">
        <f aca="false">MAX(D9-E9,0)</f>
        <v>10</v>
      </c>
      <c r="G9" s="38" t="n">
        <v>350</v>
      </c>
      <c r="H9" s="38" t="n">
        <f aca="false">D9*G9</f>
        <v>17500</v>
      </c>
      <c r="I9" s="24" t="s">
        <v>204</v>
      </c>
      <c r="J9" s="50" t="s">
        <v>55</v>
      </c>
      <c r="L9" s="36" t="s">
        <v>203</v>
      </c>
      <c r="M9" s="0" t="n">
        <v>50</v>
      </c>
      <c r="N9" s="0" t="n">
        <v>40</v>
      </c>
    </row>
    <row r="10" customFormat="false" ht="15" hidden="false" customHeight="false" outlineLevel="0" collapsed="false">
      <c r="A10" s="27" t="n">
        <v>7</v>
      </c>
      <c r="B10" s="27" t="s">
        <v>205</v>
      </c>
      <c r="C10" s="27" t="s">
        <v>138</v>
      </c>
      <c r="D10" s="27" t="n">
        <v>15</v>
      </c>
      <c r="E10" s="27" t="n">
        <v>15</v>
      </c>
      <c r="F10" s="27" t="n">
        <f aca="false">MAX(D10-E10,0)</f>
        <v>0</v>
      </c>
      <c r="G10" s="37" t="n">
        <v>700</v>
      </c>
      <c r="H10" s="37" t="n">
        <f aca="false">D10*G10</f>
        <v>10500</v>
      </c>
      <c r="I10" s="27" t="s">
        <v>206</v>
      </c>
      <c r="J10" s="29" t="s">
        <v>194</v>
      </c>
      <c r="L10" s="36" t="s">
        <v>205</v>
      </c>
      <c r="M10" s="0" t="n">
        <v>15</v>
      </c>
      <c r="N10" s="0" t="n">
        <v>15</v>
      </c>
    </row>
    <row r="11" customFormat="false" ht="15" hidden="false" customHeight="false" outlineLevel="0" collapsed="false">
      <c r="A11" s="24" t="n">
        <v>8</v>
      </c>
      <c r="B11" s="24" t="s">
        <v>207</v>
      </c>
      <c r="C11" s="24" t="s">
        <v>208</v>
      </c>
      <c r="D11" s="24" t="n">
        <v>5</v>
      </c>
      <c r="E11" s="24" t="n">
        <v>5</v>
      </c>
      <c r="F11" s="24" t="n">
        <f aca="false">MAX(D11-E11,0)</f>
        <v>0</v>
      </c>
      <c r="G11" s="38" t="n">
        <v>400</v>
      </c>
      <c r="H11" s="38" t="n">
        <f aca="false">D11*G11</f>
        <v>2000</v>
      </c>
      <c r="I11" s="24" t="s">
        <v>209</v>
      </c>
      <c r="J11" s="31" t="s">
        <v>194</v>
      </c>
      <c r="L11" s="36" t="s">
        <v>207</v>
      </c>
      <c r="M11" s="0" t="n">
        <v>5</v>
      </c>
      <c r="N11" s="0" t="n">
        <v>5</v>
      </c>
    </row>
    <row r="12" customFormat="false" ht="15" hidden="false" customHeight="false" outlineLevel="0" collapsed="false">
      <c r="A12" s="27" t="n">
        <v>9</v>
      </c>
      <c r="B12" s="27" t="s">
        <v>210</v>
      </c>
      <c r="C12" s="27" t="s">
        <v>156</v>
      </c>
      <c r="D12" s="27" t="n">
        <v>8</v>
      </c>
      <c r="E12" s="27" t="n">
        <v>6</v>
      </c>
      <c r="F12" s="27" t="n">
        <f aca="false">MAX(D12-E12,0)</f>
        <v>2</v>
      </c>
      <c r="G12" s="37" t="n">
        <v>1200</v>
      </c>
      <c r="H12" s="37" t="n">
        <f aca="false">D12*G12</f>
        <v>9600</v>
      </c>
      <c r="I12" s="27" t="s">
        <v>211</v>
      </c>
      <c r="J12" s="39" t="s">
        <v>55</v>
      </c>
      <c r="L12" s="36" t="s">
        <v>210</v>
      </c>
      <c r="M12" s="0" t="n">
        <v>8</v>
      </c>
      <c r="N12" s="0" t="n">
        <v>6</v>
      </c>
    </row>
    <row r="13" customFormat="false" ht="15" hidden="false" customHeight="false" outlineLevel="0" collapsed="false">
      <c r="A13" s="24" t="n">
        <v>10</v>
      </c>
      <c r="B13" s="24" t="s">
        <v>212</v>
      </c>
      <c r="C13" s="24" t="s">
        <v>196</v>
      </c>
      <c r="D13" s="24" t="n">
        <v>4</v>
      </c>
      <c r="E13" s="24" t="n">
        <v>3</v>
      </c>
      <c r="F13" s="24" t="n">
        <f aca="false">MAX(D13-E13,0)</f>
        <v>1</v>
      </c>
      <c r="G13" s="38" t="n">
        <v>0</v>
      </c>
      <c r="H13" s="38" t="n">
        <f aca="false">D13*G13</f>
        <v>0</v>
      </c>
      <c r="I13" s="24" t="s">
        <v>213</v>
      </c>
      <c r="J13" s="26" t="s">
        <v>52</v>
      </c>
      <c r="L13" s="36" t="s">
        <v>212</v>
      </c>
      <c r="M13" s="0" t="n">
        <v>4</v>
      </c>
      <c r="N13" s="0" t="n">
        <v>3</v>
      </c>
    </row>
    <row r="14" customFormat="false" ht="23.85" hidden="false" customHeight="false" outlineLevel="0" collapsed="false">
      <c r="A14" s="44" t="s">
        <v>60</v>
      </c>
      <c r="B14" s="44"/>
      <c r="C14" s="44"/>
      <c r="D14" s="44"/>
      <c r="E14" s="44"/>
      <c r="F14" s="44"/>
      <c r="G14" s="44"/>
      <c r="H14" s="53" t="n">
        <f aca="false">SUM(H4:H13)</f>
        <v>116100</v>
      </c>
      <c r="I14" s="44"/>
      <c r="J14" s="44"/>
    </row>
    <row r="16" customFormat="false" ht="15" hidden="false" customHeight="false" outlineLevel="0" collapsed="false">
      <c r="L16" s="36" t="s">
        <v>35</v>
      </c>
      <c r="M16" s="36" t="s">
        <v>214</v>
      </c>
    </row>
    <row r="17" customFormat="false" ht="15" hidden="false" customHeight="false" outlineLevel="0" collapsed="false">
      <c r="L17" s="36" t="s">
        <v>191</v>
      </c>
      <c r="M17" s="0" t="n">
        <v>54000</v>
      </c>
    </row>
    <row r="18" customFormat="false" ht="15" hidden="false" customHeight="false" outlineLevel="0" collapsed="false">
      <c r="L18" s="36" t="s">
        <v>196</v>
      </c>
      <c r="M18" s="0" t="n">
        <v>17500</v>
      </c>
    </row>
    <row r="19" customFormat="false" ht="15" hidden="false" customHeight="false" outlineLevel="0" collapsed="false">
      <c r="L19" s="36" t="s">
        <v>201</v>
      </c>
      <c r="M19" s="0" t="n">
        <v>5000</v>
      </c>
    </row>
    <row r="20" customFormat="false" ht="15" hidden="false" customHeight="false" outlineLevel="0" collapsed="false">
      <c r="L20" s="36" t="s">
        <v>50</v>
      </c>
      <c r="M20" s="0" t="n">
        <v>17500</v>
      </c>
    </row>
    <row r="21" customFormat="false" ht="15" hidden="false" customHeight="false" outlineLevel="0" collapsed="false">
      <c r="L21" s="36" t="s">
        <v>138</v>
      </c>
      <c r="M21" s="0" t="n">
        <v>10500</v>
      </c>
    </row>
    <row r="22" customFormat="false" ht="15" hidden="false" customHeight="false" outlineLevel="0" collapsed="false">
      <c r="L22" s="36" t="s">
        <v>208</v>
      </c>
      <c r="M22" s="0" t="n">
        <v>2000</v>
      </c>
    </row>
    <row r="23" customFormat="false" ht="15" hidden="false" customHeight="false" outlineLevel="0" collapsed="false">
      <c r="L23" s="36" t="s">
        <v>156</v>
      </c>
      <c r="M23" s="0" t="n">
        <v>9600</v>
      </c>
    </row>
  </sheetData>
  <mergeCells count="1">
    <mergeCell ref="A1:J1"/>
  </mergeCells>
  <dataValidations count="1">
    <dataValidation allowBlank="true" errorStyle="stop" operator="between" showDropDown="false" showErrorMessage="false" showInputMessage="false" sqref="J4:J200" type="list">
      <formula1>"Confirmed,Pending,Partial,Cancelled"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3483"/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4"/>
    <col collapsed="false" customWidth="true" hidden="false" outlineLevel="0" max="5" min="5" style="0" width="10"/>
    <col collapsed="false" customWidth="true" hidden="false" outlineLevel="0" max="6" min="6" style="0" width="5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10" min="9" style="0" width="10"/>
  </cols>
  <sheetData>
    <row r="1" customFormat="false" ht="36" hidden="false" customHeight="true" outlineLevel="0" collapsed="false">
      <c r="A1" s="33" t="s">
        <v>215</v>
      </c>
      <c r="B1" s="33"/>
      <c r="C1" s="33"/>
      <c r="D1" s="33"/>
      <c r="E1" s="33"/>
      <c r="F1" s="33"/>
      <c r="G1" s="33"/>
      <c r="H1" s="33"/>
      <c r="I1" s="33"/>
      <c r="J1" s="33"/>
    </row>
    <row r="3" customFormat="false" ht="15" hidden="false" customHeight="true" outlineLevel="0" collapsed="false">
      <c r="A3" s="3" t="s">
        <v>216</v>
      </c>
      <c r="B3" s="3"/>
      <c r="C3" s="3"/>
      <c r="D3" s="3"/>
      <c r="E3" s="3"/>
      <c r="G3" s="2" t="s">
        <v>217</v>
      </c>
      <c r="H3" s="2"/>
      <c r="I3" s="2"/>
      <c r="J3" s="2"/>
    </row>
    <row r="4" customFormat="false" ht="15" hidden="false" customHeight="false" outlineLevel="0" collapsed="false">
      <c r="A4" s="23" t="s">
        <v>35</v>
      </c>
      <c r="B4" s="23" t="s">
        <v>42</v>
      </c>
      <c r="C4" s="23" t="s">
        <v>43</v>
      </c>
      <c r="D4" s="23" t="s">
        <v>218</v>
      </c>
      <c r="E4" s="23" t="s">
        <v>40</v>
      </c>
      <c r="G4" s="23" t="s">
        <v>183</v>
      </c>
      <c r="H4" s="23" t="s">
        <v>61</v>
      </c>
      <c r="I4" s="23" t="s">
        <v>219</v>
      </c>
      <c r="J4" s="23" t="s">
        <v>220</v>
      </c>
    </row>
    <row r="5" customFormat="false" ht="15" hidden="false" customHeight="false" outlineLevel="0" collapsed="false">
      <c r="A5" s="24" t="s">
        <v>45</v>
      </c>
      <c r="B5" s="38" t="n">
        <f aca="false">IFERROR(INDEX(BudgetTracker!D$4:D$9,MATCH(A5,BudgetTracker!C$4:C$9,0)),0)</f>
        <v>150000</v>
      </c>
      <c r="C5" s="38" t="n">
        <f aca="false">IFERROR(INDEX(BudgetTracker!F$4:F$9,MATCH(A5,BudgetTracker!C$4:C$9,0)),0)</f>
        <v>112000</v>
      </c>
      <c r="D5" s="38" t="n">
        <f aca="false">B5-C5</f>
        <v>38000</v>
      </c>
      <c r="E5" s="25" t="n">
        <f aca="false">IFERROR(C5/B5,0)</f>
        <v>0.746666666666667</v>
      </c>
      <c r="F5" s="24"/>
      <c r="G5" s="24" t="s">
        <v>221</v>
      </c>
      <c r="H5" s="31" t="n">
        <f aca="false">COUNTIF(TaskTracker!G:G,"Completed")</f>
        <v>3</v>
      </c>
      <c r="I5" s="25" t="n">
        <f aca="false">IFERROR(H5/SUM(H5:H10),0)</f>
        <v>0.157894736842105</v>
      </c>
      <c r="J5" s="54" t="s">
        <v>222</v>
      </c>
    </row>
    <row r="6" customFormat="false" ht="15" hidden="false" customHeight="false" outlineLevel="0" collapsed="false">
      <c r="A6" s="27" t="s">
        <v>48</v>
      </c>
      <c r="B6" s="37" t="n">
        <f aca="false">IFERROR(INDEX(BudgetTracker!D$4:D$9,MATCH(A6,BudgetTracker!C$4:C$9,0)),0)</f>
        <v>80000</v>
      </c>
      <c r="C6" s="37" t="n">
        <f aca="false">IFERROR(INDEX(BudgetTracker!F$4:F$9,MATCH(A6,BudgetTracker!C$4:C$9,0)),0)</f>
        <v>65000</v>
      </c>
      <c r="D6" s="37" t="n">
        <f aca="false">B6-C6</f>
        <v>15000</v>
      </c>
      <c r="E6" s="28" t="n">
        <f aca="false">IFERROR(C6/B6,0)</f>
        <v>0.8125</v>
      </c>
      <c r="F6" s="27"/>
      <c r="G6" s="27" t="s">
        <v>223</v>
      </c>
      <c r="H6" s="32" t="n">
        <f aca="false">COUNTIF(TaskTracker!G:G,"Overdue")</f>
        <v>1</v>
      </c>
      <c r="I6" s="28" t="n">
        <f aca="false">IFERROR(H6/SUM(H5:H10),0)</f>
        <v>0.0526315789473684</v>
      </c>
      <c r="J6" s="55" t="s">
        <v>224</v>
      </c>
    </row>
    <row r="7" customFormat="false" ht="15" hidden="false" customHeight="false" outlineLevel="0" collapsed="false">
      <c r="A7" s="24" t="s">
        <v>50</v>
      </c>
      <c r="B7" s="38" t="n">
        <f aca="false">IFERROR(INDEX(BudgetTracker!D$4:D$9,MATCH(A7,BudgetTracker!C$4:C$9,0)),0)</f>
        <v>40000</v>
      </c>
      <c r="C7" s="38" t="n">
        <f aca="false">IFERROR(INDEX(BudgetTracker!F$4:F$9,MATCH(A7,BudgetTracker!C$4:C$9,0)),0)</f>
        <v>38500</v>
      </c>
      <c r="D7" s="38" t="n">
        <f aca="false">B7-C7</f>
        <v>1500</v>
      </c>
      <c r="E7" s="25" t="n">
        <f aca="false">IFERROR(C7/B7,0)</f>
        <v>0.9625</v>
      </c>
      <c r="F7" s="24"/>
      <c r="G7" s="24" t="s">
        <v>225</v>
      </c>
      <c r="H7" s="56" t="n">
        <f aca="false">COUNTIF(TaskTracker!G:G,"In Progress")</f>
        <v>3</v>
      </c>
      <c r="I7" s="25" t="n">
        <f aca="false">IFERROR(H7/SUM(H5:H10),0)</f>
        <v>0.157894736842105</v>
      </c>
      <c r="J7" s="57" t="s">
        <v>226</v>
      </c>
    </row>
    <row r="8" customFormat="false" ht="15" hidden="false" customHeight="false" outlineLevel="0" collapsed="false">
      <c r="A8" s="27" t="s">
        <v>53</v>
      </c>
      <c r="B8" s="37" t="n">
        <f aca="false">IFERROR(INDEX(BudgetTracker!D$4:D$9,MATCH(A8,BudgetTracker!C$4:C$9,0)),0)</f>
        <v>30000</v>
      </c>
      <c r="C8" s="37" t="n">
        <f aca="false">IFERROR(INDEX(BudgetTracker!F$4:F$9,MATCH(A8,BudgetTracker!C$4:C$9,0)),0)</f>
        <v>18000</v>
      </c>
      <c r="D8" s="37" t="n">
        <f aca="false">B8-C8</f>
        <v>12000</v>
      </c>
      <c r="E8" s="28" t="n">
        <f aca="false">IFERROR(C8/B8,0)</f>
        <v>0.6</v>
      </c>
      <c r="F8" s="27"/>
      <c r="G8" s="27" t="s">
        <v>227</v>
      </c>
      <c r="H8" s="29" t="n">
        <f aca="false">COUNTIF(VolunteerAllocation!D:D,"Assigned")</f>
        <v>8</v>
      </c>
      <c r="I8" s="28" t="n">
        <f aca="false">IFERROR(H8/SUM(H5:H10),0)</f>
        <v>0.421052631578947</v>
      </c>
      <c r="J8" s="54" t="s">
        <v>222</v>
      </c>
    </row>
    <row r="9" customFormat="false" ht="15" hidden="false" customHeight="false" outlineLevel="0" collapsed="false">
      <c r="A9" s="24" t="s">
        <v>56</v>
      </c>
      <c r="B9" s="38" t="n">
        <f aca="false">IFERROR(INDEX(BudgetTracker!D$4:D$9,MATCH(A9,BudgetTracker!C$4:C$9,0)),0)</f>
        <v>50000</v>
      </c>
      <c r="C9" s="38" t="n">
        <f aca="false">IFERROR(INDEX(BudgetTracker!F$4:F$9,MATCH(A9,BudgetTracker!C$4:C$9,0)),0)</f>
        <v>42000</v>
      </c>
      <c r="D9" s="38" t="n">
        <f aca="false">B9-C9</f>
        <v>8000</v>
      </c>
      <c r="E9" s="25" t="n">
        <f aca="false">IFERROR(C9/B9,0)</f>
        <v>0.84</v>
      </c>
      <c r="F9" s="24"/>
      <c r="G9" s="24" t="s">
        <v>228</v>
      </c>
      <c r="H9" s="58" t="n">
        <f aca="false">COUNTIF(VolunteerAllocation!D:D,"Absent")</f>
        <v>1</v>
      </c>
      <c r="I9" s="25" t="n">
        <f aca="false">IFERROR(H9/SUM(H5:H10),0)</f>
        <v>0.0526315789473684</v>
      </c>
      <c r="J9" s="55" t="s">
        <v>224</v>
      </c>
    </row>
    <row r="10" customFormat="false" ht="15" hidden="false" customHeight="false" outlineLevel="0" collapsed="false">
      <c r="A10" s="27" t="s">
        <v>58</v>
      </c>
      <c r="B10" s="37" t="n">
        <f aca="false">IFERROR(INDEX(BudgetTracker!D$4:D$9,MATCH(A10,BudgetTracker!C$4:C$9,0)),0)</f>
        <v>20000</v>
      </c>
      <c r="C10" s="37" t="n">
        <f aca="false">IFERROR(INDEX(BudgetTracker!F$4:F$9,MATCH(A10,BudgetTracker!C$4:C$9,0)),0)</f>
        <v>8500</v>
      </c>
      <c r="D10" s="37" t="n">
        <f aca="false">B10-C10</f>
        <v>11500</v>
      </c>
      <c r="E10" s="28" t="n">
        <f aca="false">IFERROR(C10/B10,0)</f>
        <v>0.425</v>
      </c>
      <c r="F10" s="27"/>
      <c r="G10" s="27" t="s">
        <v>229</v>
      </c>
      <c r="H10" s="59" t="n">
        <f aca="false">COUNTIF(ResourcePlanning!J4:J100,"Pending")</f>
        <v>3</v>
      </c>
      <c r="I10" s="28" t="n">
        <f aca="false">IFERROR(H10/SUM(H5:H10),0)</f>
        <v>0.157894736842105</v>
      </c>
      <c r="J10" s="60" t="s">
        <v>230</v>
      </c>
    </row>
  </sheetData>
  <mergeCells count="3">
    <mergeCell ref="A1:J1"/>
    <mergeCell ref="A3:E3"/>
    <mergeCell ref="G3:J3"/>
  </mergeCells>
  <conditionalFormatting sqref="E5:E10">
    <cfRule type="colorScale" priority="2">
      <colorScale>
        <cfvo type="num" val="0"/>
        <cfvo type="num" val="0.7"/>
        <cfvo type="num" val="1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2026-06-09T20:17:43Z</dcterms:created>
  <dc:creator>openpyxl</dc:creator>
  <dc:description/>
  <dc:language>en-US</dc:language>
  <cp:lastModifiedBy/>
  <dcterms:modified xsi:type="dcterms:W3CDTF">2026-06-09T20:17:51Z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